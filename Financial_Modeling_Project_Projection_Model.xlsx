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8" yWindow="-108" windowWidth="23256" windowHeight="12576" activeTab="3"/>
  </bookViews>
  <sheets>
    <sheet name="Proposal" sheetId="8" r:id="rId1"/>
    <sheet name="Machinery Chart" sheetId="12" r:id="rId2"/>
    <sheet name="COP - MOF" sheetId="16" r:id="rId3"/>
    <sheet name="P&amp;L" sheetId="1" r:id="rId4"/>
    <sheet name="Balance Sheet" sheetId="2" r:id="rId5"/>
    <sheet name="Production Chart" sheetId="13" r:id="rId6"/>
    <sheet name="Fixed Asset Chart" sheetId="11" r:id="rId7"/>
    <sheet name="Repayment Schedule - TL 1" sheetId="10" r:id="rId8"/>
    <sheet name="Repayment Schedule - TL 2" sheetId="14" r:id="rId9"/>
    <sheet name="Summary of TL Repayment" sheetId="15" r:id="rId10"/>
  </sheets>
  <definedNames>
    <definedName name="_xlnm.Print_Area" localSheetId="4">'Balance Sheet'!$A$1:$I$79</definedName>
    <definedName name="_xlnm.Print_Area" localSheetId="3">'P&amp;L'!$A$1:$I$56</definedName>
    <definedName name="_xlnm.Print_Area" localSheetId="0">Proposal!$A$1:$C$10</definedName>
    <definedName name="_xlnm.Print_Area" localSheetId="7">'Repayment Schedule - TL 1'!$A$1:$M$93</definedName>
    <definedName name="_xlnm.Print_Area" localSheetId="8">'Repayment Schedule - TL 2'!$A$1:$M$92</definedName>
  </definedNames>
  <calcPr calcId="144525"/>
</workbook>
</file>

<file path=xl/calcChain.xml><?xml version="1.0" encoding="utf-8"?>
<calcChain xmlns="http://schemas.openxmlformats.org/spreadsheetml/2006/main">
  <c r="D13" i="15" l="1"/>
  <c r="E13" i="15"/>
  <c r="H16" i="2"/>
  <c r="G16" i="2" s="1"/>
  <c r="F16" i="2" s="1"/>
  <c r="E16" i="2" s="1"/>
  <c r="D16" i="2" s="1"/>
  <c r="C16" i="2" s="1"/>
  <c r="B16" i="2" s="1"/>
  <c r="B18" i="2"/>
  <c r="C18" i="2"/>
  <c r="D18" i="2"/>
  <c r="E18" i="2"/>
  <c r="F18" i="2"/>
  <c r="G18" i="2"/>
  <c r="H18" i="2"/>
  <c r="I18" i="2"/>
  <c r="E91" i="10"/>
  <c r="F22" i="12"/>
  <c r="F12" i="12"/>
  <c r="F18" i="12"/>
  <c r="F3" i="12"/>
  <c r="I24" i="2" l="1"/>
  <c r="H24" i="2"/>
  <c r="G24" i="2"/>
  <c r="F24" i="2"/>
  <c r="E24" i="2"/>
  <c r="D24" i="2"/>
  <c r="C24" i="2"/>
  <c r="I53" i="2"/>
  <c r="H53" i="2"/>
  <c r="G53" i="2"/>
  <c r="F53" i="2"/>
  <c r="E53" i="2"/>
  <c r="D53" i="2"/>
  <c r="C53" i="2"/>
  <c r="B24" i="2"/>
  <c r="B53" i="2"/>
  <c r="I19" i="1"/>
  <c r="H19" i="1"/>
  <c r="G19" i="1"/>
  <c r="F19" i="1"/>
  <c r="E19" i="1"/>
  <c r="D19" i="1"/>
  <c r="C19" i="1"/>
  <c r="B19" i="1"/>
  <c r="I20" i="13"/>
  <c r="H20" i="13"/>
  <c r="G20" i="13"/>
  <c r="F20" i="13"/>
  <c r="E20" i="13"/>
  <c r="D20" i="13"/>
  <c r="C20" i="13"/>
  <c r="B20" i="13"/>
  <c r="I8" i="13"/>
  <c r="H8" i="13"/>
  <c r="G8" i="13"/>
  <c r="F8" i="13"/>
  <c r="E8" i="13"/>
  <c r="D8" i="13"/>
  <c r="C8" i="13"/>
  <c r="B8" i="13"/>
  <c r="C17" i="13"/>
  <c r="D17" i="13"/>
  <c r="E17" i="13"/>
  <c r="F17" i="13"/>
  <c r="G17" i="13"/>
  <c r="H17" i="13"/>
  <c r="I17" i="13"/>
  <c r="B17" i="13"/>
  <c r="B5" i="13"/>
  <c r="C13" i="15"/>
  <c r="B13" i="15"/>
  <c r="M8" i="14"/>
  <c r="J9" i="14"/>
  <c r="D8" i="14"/>
  <c r="M16" i="10"/>
  <c r="D8" i="10" l="1"/>
  <c r="C8" i="8"/>
  <c r="F4" i="16" s="1"/>
  <c r="C7" i="8"/>
  <c r="G13" i="15" l="1"/>
  <c r="F13" i="15"/>
  <c r="H12" i="2"/>
  <c r="H55" i="1"/>
  <c r="G30" i="1"/>
  <c r="H12" i="15"/>
  <c r="I12" i="15" s="1"/>
  <c r="H11" i="15"/>
  <c r="I11" i="15" s="1"/>
  <c r="H10" i="15"/>
  <c r="I10" i="15" s="1"/>
  <c r="H9" i="15"/>
  <c r="I9" i="15" s="1"/>
  <c r="H8" i="15"/>
  <c r="I8" i="15" s="1"/>
  <c r="H7" i="15"/>
  <c r="I7" i="15" s="1"/>
  <c r="H6" i="15"/>
  <c r="I6" i="15" s="1"/>
  <c r="H5" i="15"/>
  <c r="I5" i="15" s="1"/>
  <c r="H4" i="15"/>
  <c r="I4" i="15" s="1"/>
  <c r="D5" i="15"/>
  <c r="E5" i="15" s="1"/>
  <c r="D6" i="15"/>
  <c r="E6" i="15" s="1"/>
  <c r="D7" i="15"/>
  <c r="E7" i="15" s="1"/>
  <c r="D8" i="15"/>
  <c r="E8" i="15" s="1"/>
  <c r="D9" i="15"/>
  <c r="E9" i="15" s="1"/>
  <c r="D10" i="15"/>
  <c r="E10" i="15" s="1"/>
  <c r="D11" i="15"/>
  <c r="E11" i="15" s="1"/>
  <c r="D12" i="15"/>
  <c r="E12" i="15" s="1"/>
  <c r="D4" i="15"/>
  <c r="E4" i="15" s="1"/>
  <c r="I63" i="2"/>
  <c r="H63" i="2"/>
  <c r="G63" i="2"/>
  <c r="I58" i="2"/>
  <c r="H58" i="2"/>
  <c r="G58" i="2"/>
  <c r="I48" i="2"/>
  <c r="H48" i="2"/>
  <c r="G48" i="2"/>
  <c r="I40" i="2"/>
  <c r="H40" i="2"/>
  <c r="G40" i="2"/>
  <c r="I12" i="2"/>
  <c r="I22" i="1"/>
  <c r="H22" i="1"/>
  <c r="G22" i="1"/>
  <c r="I17" i="1"/>
  <c r="H17" i="1"/>
  <c r="G17" i="1"/>
  <c r="I13" i="1"/>
  <c r="H13" i="1"/>
  <c r="G13" i="1"/>
  <c r="I5" i="13"/>
  <c r="H5" i="13"/>
  <c r="G5" i="13"/>
  <c r="F8" i="14"/>
  <c r="B9" i="14" s="1"/>
  <c r="E21" i="12"/>
  <c r="H25" i="13" l="1"/>
  <c r="H7" i="1" s="1"/>
  <c r="H9" i="1" s="1"/>
  <c r="H14" i="1" s="1"/>
  <c r="G25" i="13"/>
  <c r="G7" i="1" s="1"/>
  <c r="G9" i="1" s="1"/>
  <c r="G14" i="1" s="1"/>
  <c r="I13" i="15"/>
  <c r="F9" i="14"/>
  <c r="B10" i="14" s="1"/>
  <c r="D10" i="14" s="1"/>
  <c r="D9" i="14"/>
  <c r="C10" i="8"/>
  <c r="F3" i="16"/>
  <c r="F9" i="16" s="1"/>
  <c r="H13" i="15"/>
  <c r="G55" i="1"/>
  <c r="I30" i="1"/>
  <c r="I55" i="1"/>
  <c r="H30" i="1"/>
  <c r="I25" i="13"/>
  <c r="I7" i="1" s="1"/>
  <c r="I9" i="1" s="1"/>
  <c r="I14" i="1" s="1"/>
  <c r="F10" i="14"/>
  <c r="B11" i="14" s="1"/>
  <c r="D11" i="14" s="1"/>
  <c r="E10" i="14"/>
  <c r="E8" i="14"/>
  <c r="F21" i="12"/>
  <c r="B4" i="11" s="1"/>
  <c r="E9" i="14" l="1"/>
  <c r="G12" i="2"/>
  <c r="H78" i="2"/>
  <c r="H77" i="2"/>
  <c r="H48" i="1"/>
  <c r="H23" i="2"/>
  <c r="H75" i="2" s="1"/>
  <c r="I23" i="2"/>
  <c r="I75" i="2" s="1"/>
  <c r="G77" i="2"/>
  <c r="I77" i="2"/>
  <c r="G48" i="1"/>
  <c r="G78" i="2"/>
  <c r="I48" i="1"/>
  <c r="I16" i="1"/>
  <c r="H16" i="1"/>
  <c r="F23" i="12"/>
  <c r="E23" i="12" s="1"/>
  <c r="E4" i="11"/>
  <c r="F4" i="11" s="1"/>
  <c r="G4" i="11" s="1"/>
  <c r="H4" i="11" s="1"/>
  <c r="I4" i="11" s="1"/>
  <c r="J4" i="11" s="1"/>
  <c r="K4" i="11" s="1"/>
  <c r="L4" i="11" s="1"/>
  <c r="F11" i="14"/>
  <c r="B12" i="14" s="1"/>
  <c r="D12" i="14" s="1"/>
  <c r="K9" i="14" s="1"/>
  <c r="E22" i="12"/>
  <c r="H79" i="2" l="1"/>
  <c r="H45" i="2"/>
  <c r="G16" i="1"/>
  <c r="G45" i="2"/>
  <c r="I79" i="2"/>
  <c r="I78" i="2"/>
  <c r="I45" i="2"/>
  <c r="G79" i="2"/>
  <c r="G23" i="2"/>
  <c r="G75" i="2" s="1"/>
  <c r="F12" i="14"/>
  <c r="B13" i="14" s="1"/>
  <c r="D13" i="14" s="1"/>
  <c r="E11" i="14"/>
  <c r="B40" i="2"/>
  <c r="B58" i="2"/>
  <c r="B63" i="2"/>
  <c r="B48" i="2"/>
  <c r="F13" i="14" l="1"/>
  <c r="B14" i="14" s="1"/>
  <c r="D14" i="14" s="1"/>
  <c r="C14" i="14" s="1"/>
  <c r="E12" i="14"/>
  <c r="B22" i="1"/>
  <c r="D17" i="1"/>
  <c r="C17" i="1"/>
  <c r="F14" i="14" l="1"/>
  <c r="B15" i="14" s="1"/>
  <c r="D15" i="14" s="1"/>
  <c r="C15" i="14" s="1"/>
  <c r="E13" i="14"/>
  <c r="F15" i="14" l="1"/>
  <c r="B16" i="14" s="1"/>
  <c r="D16" i="14" s="1"/>
  <c r="C16" i="14" l="1"/>
  <c r="F5" i="13"/>
  <c r="F25" i="13" s="1"/>
  <c r="F7" i="1" s="1"/>
  <c r="E5" i="13"/>
  <c r="E25" i="13" s="1"/>
  <c r="E7" i="1" s="1"/>
  <c r="D5" i="13"/>
  <c r="D25" i="13" s="1"/>
  <c r="D7" i="1" s="1"/>
  <c r="C5" i="13"/>
  <c r="F16" i="14" l="1"/>
  <c r="B17" i="14" s="1"/>
  <c r="C25" i="13"/>
  <c r="C7" i="1" s="1"/>
  <c r="B25" i="13"/>
  <c r="B7" i="1" s="1"/>
  <c r="B77" i="2" s="1"/>
  <c r="E8" i="10"/>
  <c r="E11" i="12"/>
  <c r="B9" i="1" l="1"/>
  <c r="B14" i="1" s="1"/>
  <c r="B48" i="1"/>
  <c r="B78" i="2"/>
  <c r="D17" i="14"/>
  <c r="C17" i="14" s="1"/>
  <c r="F17" i="14" s="1"/>
  <c r="B18" i="14" s="1"/>
  <c r="D18" i="14" s="1"/>
  <c r="C18" i="14" s="1"/>
  <c r="F18" i="14" s="1"/>
  <c r="B19" i="14" s="1"/>
  <c r="D19" i="14" s="1"/>
  <c r="C9" i="1"/>
  <c r="F11" i="12"/>
  <c r="B3" i="11" l="1"/>
  <c r="E3" i="11" s="1"/>
  <c r="C3" i="16"/>
  <c r="C4" i="16" s="1"/>
  <c r="C9" i="16" s="1"/>
  <c r="B45" i="2"/>
  <c r="B16" i="1"/>
  <c r="C19" i="14"/>
  <c r="F19" i="14" s="1"/>
  <c r="B20" i="14" s="1"/>
  <c r="D20" i="14" s="1"/>
  <c r="B79" i="2"/>
  <c r="B23" i="2"/>
  <c r="E12" i="12"/>
  <c r="F13" i="12"/>
  <c r="E13" i="12" s="1"/>
  <c r="C20" i="14" l="1"/>
  <c r="F8" i="10"/>
  <c r="F20" i="14" l="1"/>
  <c r="B21" i="14" s="1"/>
  <c r="D5" i="11"/>
  <c r="D21" i="14" l="1"/>
  <c r="C21" i="14" s="1"/>
  <c r="F21" i="14" s="1"/>
  <c r="B22" i="14" s="1"/>
  <c r="E5" i="11"/>
  <c r="B37" i="1" s="1"/>
  <c r="F3" i="11"/>
  <c r="L9" i="14"/>
  <c r="M9" i="14" s="1"/>
  <c r="D22" i="14" l="1"/>
  <c r="C22" i="14" s="1"/>
  <c r="F22" i="14" s="1"/>
  <c r="B23" i="14" s="1"/>
  <c r="D23" i="14" s="1"/>
  <c r="C23" i="14" s="1"/>
  <c r="G3" i="11"/>
  <c r="F5" i="11"/>
  <c r="C37" i="1" s="1"/>
  <c r="B37" i="2"/>
  <c r="B53" i="1"/>
  <c r="B9" i="10"/>
  <c r="D9" i="10" s="1"/>
  <c r="F23" i="14" l="1"/>
  <c r="B24" i="14" s="1"/>
  <c r="D24" i="14" s="1"/>
  <c r="K10" i="14" s="1"/>
  <c r="H3" i="11"/>
  <c r="G5" i="11"/>
  <c r="D37" i="1" s="1"/>
  <c r="D53" i="1" s="1"/>
  <c r="E9" i="10"/>
  <c r="F9" i="10"/>
  <c r="B10" i="10" s="1"/>
  <c r="D10" i="10" s="1"/>
  <c r="C53" i="1"/>
  <c r="C24" i="14" l="1"/>
  <c r="F24" i="14" s="1"/>
  <c r="B25" i="14" s="1"/>
  <c r="D25" i="14" s="1"/>
  <c r="C25" i="14" s="1"/>
  <c r="J10" i="14"/>
  <c r="L8" i="10"/>
  <c r="M8" i="10" s="1"/>
  <c r="H5" i="11"/>
  <c r="E37" i="1" s="1"/>
  <c r="E53" i="1" s="1"/>
  <c r="I3" i="11"/>
  <c r="C78" i="2"/>
  <c r="F25" i="14" l="1"/>
  <c r="B26" i="14" s="1"/>
  <c r="D26" i="14" s="1"/>
  <c r="I5" i="11"/>
  <c r="F37" i="1" s="1"/>
  <c r="F53" i="1" s="1"/>
  <c r="J3" i="11"/>
  <c r="C26" i="14"/>
  <c r="F26" i="14" s="1"/>
  <c r="B27" i="14" s="1"/>
  <c r="D27" i="14" s="1"/>
  <c r="F10" i="10"/>
  <c r="B11" i="10" s="1"/>
  <c r="D11" i="10" s="1"/>
  <c r="E10" i="10"/>
  <c r="D78" i="2"/>
  <c r="J5" i="11" l="1"/>
  <c r="G37" i="1" s="1"/>
  <c r="K3" i="11"/>
  <c r="C27" i="14"/>
  <c r="F27" i="14" s="1"/>
  <c r="B28" i="14" s="1"/>
  <c r="D28" i="14" s="1"/>
  <c r="C79" i="2"/>
  <c r="E78" i="2"/>
  <c r="K5" i="11" l="1"/>
  <c r="H37" i="1" s="1"/>
  <c r="L3" i="11"/>
  <c r="L5" i="11" s="1"/>
  <c r="I37" i="1" s="1"/>
  <c r="G53" i="1"/>
  <c r="G37" i="2"/>
  <c r="G39" i="1"/>
  <c r="F11" i="10"/>
  <c r="B12" i="10" s="1"/>
  <c r="E11" i="10"/>
  <c r="D79" i="2"/>
  <c r="F78" i="2"/>
  <c r="F12" i="10" l="1"/>
  <c r="B13" i="10" s="1"/>
  <c r="D13" i="10" s="1"/>
  <c r="E13" i="10" s="1"/>
  <c r="D12" i="10"/>
  <c r="I37" i="2"/>
  <c r="I53" i="1"/>
  <c r="I39" i="1"/>
  <c r="G42" i="1"/>
  <c r="G49" i="1" s="1"/>
  <c r="H37" i="2"/>
  <c r="H53" i="1"/>
  <c r="H39" i="1"/>
  <c r="C28" i="14"/>
  <c r="E79" i="2"/>
  <c r="H42" i="1" l="1"/>
  <c r="H49" i="1" s="1"/>
  <c r="G56" i="1"/>
  <c r="G50" i="1"/>
  <c r="I42" i="1"/>
  <c r="I43" i="1" s="1"/>
  <c r="I51" i="1" s="1"/>
  <c r="I52" i="1" s="1"/>
  <c r="G43" i="1"/>
  <c r="G51" i="1" s="1"/>
  <c r="F28" i="14"/>
  <c r="B29" i="14" s="1"/>
  <c r="D29" i="14" s="1"/>
  <c r="E12" i="10"/>
  <c r="F13" i="10"/>
  <c r="B14" i="10" s="1"/>
  <c r="D14" i="10" s="1"/>
  <c r="C14" i="10" s="1"/>
  <c r="F79" i="2"/>
  <c r="H43" i="1" l="1"/>
  <c r="H51" i="1" s="1"/>
  <c r="H52" i="1" s="1"/>
  <c r="I49" i="1"/>
  <c r="I50" i="1" s="1"/>
  <c r="H56" i="1"/>
  <c r="H50" i="1"/>
  <c r="G54" i="1"/>
  <c r="G52" i="1"/>
  <c r="I54" i="1"/>
  <c r="C29" i="14"/>
  <c r="F14" i="10"/>
  <c r="B15" i="10" s="1"/>
  <c r="D15" i="10" s="1"/>
  <c r="C15" i="10" s="1"/>
  <c r="H54" i="1" l="1"/>
  <c r="I56" i="1"/>
  <c r="F29" i="14"/>
  <c r="B30" i="14" s="1"/>
  <c r="D30" i="14" s="1"/>
  <c r="F15" i="10"/>
  <c r="B16" i="10" s="1"/>
  <c r="D16" i="10" s="1"/>
  <c r="C16" i="10" s="1"/>
  <c r="C30" i="14" l="1"/>
  <c r="F30" i="14"/>
  <c r="B31" i="14" s="1"/>
  <c r="D31" i="14" s="1"/>
  <c r="F16" i="10"/>
  <c r="B17" i="10" s="1"/>
  <c r="D17" i="10" s="1"/>
  <c r="C17" i="10" s="1"/>
  <c r="C31" i="14" l="1"/>
  <c r="F31" i="14" s="1"/>
  <c r="B32" i="14" s="1"/>
  <c r="D32" i="14" s="1"/>
  <c r="L10" i="14"/>
  <c r="M10" i="14" s="1"/>
  <c r="F17" i="10"/>
  <c r="B18" i="10" s="1"/>
  <c r="D18" i="10" s="1"/>
  <c r="C18" i="10" s="1"/>
  <c r="C32" i="14" l="1"/>
  <c r="F32" i="14"/>
  <c r="B33" i="14" s="1"/>
  <c r="D33" i="14" s="1"/>
  <c r="F18" i="10"/>
  <c r="B19" i="10" s="1"/>
  <c r="D19" i="10" s="1"/>
  <c r="C19" i="10" l="1"/>
  <c r="J9" i="10" s="1"/>
  <c r="K9" i="10"/>
  <c r="C33" i="14"/>
  <c r="F33" i="14" s="1"/>
  <c r="B34" i="14" s="1"/>
  <c r="D34" i="14" s="1"/>
  <c r="F19" i="10" l="1"/>
  <c r="B20" i="10" s="1"/>
  <c r="C34" i="14"/>
  <c r="F34" i="14" s="1"/>
  <c r="B35" i="14" s="1"/>
  <c r="D35" i="14" s="1"/>
  <c r="D20" i="10"/>
  <c r="C20" i="10" l="1"/>
  <c r="C35" i="14"/>
  <c r="F35" i="14" s="1"/>
  <c r="B36" i="14" s="1"/>
  <c r="D36" i="14" s="1"/>
  <c r="K11" i="14" s="1"/>
  <c r="F20" i="10"/>
  <c r="B21" i="10" s="1"/>
  <c r="D21" i="10" s="1"/>
  <c r="C36" i="14" l="1"/>
  <c r="C21" i="10"/>
  <c r="F36" i="14" l="1"/>
  <c r="B37" i="14" s="1"/>
  <c r="D37" i="14" s="1"/>
  <c r="C37" i="14" s="1"/>
  <c r="J11" i="14"/>
  <c r="L9" i="10"/>
  <c r="M9" i="10" s="1"/>
  <c r="F21" i="10"/>
  <c r="B22" i="10" s="1"/>
  <c r="D22" i="10" s="1"/>
  <c r="B30" i="1"/>
  <c r="B39" i="1" s="1"/>
  <c r="B42" i="1" s="1"/>
  <c r="B43" i="1" s="1"/>
  <c r="B7" i="2" s="1"/>
  <c r="F37" i="14" l="1"/>
  <c r="B38" i="14" s="1"/>
  <c r="D38" i="14" s="1"/>
  <c r="C38" i="14" s="1"/>
  <c r="C22" i="10"/>
  <c r="F22" i="10" s="1"/>
  <c r="B23" i="10" s="1"/>
  <c r="D23" i="10" s="1"/>
  <c r="C23" i="10" s="1"/>
  <c r="B51" i="1"/>
  <c r="B52" i="1" s="1"/>
  <c r="B49" i="1"/>
  <c r="B50" i="1" s="1"/>
  <c r="F38" i="14" l="1"/>
  <c r="B39" i="14" s="1"/>
  <c r="D39" i="14" s="1"/>
  <c r="C39" i="14"/>
  <c r="F23" i="10"/>
  <c r="B24" i="10" s="1"/>
  <c r="D24" i="10" s="1"/>
  <c r="B54" i="1"/>
  <c r="F39" i="14" l="1"/>
  <c r="B40" i="14" s="1"/>
  <c r="D40" i="14" s="1"/>
  <c r="C40" i="14" s="1"/>
  <c r="C24" i="10"/>
  <c r="F24" i="10" s="1"/>
  <c r="B25" i="10" s="1"/>
  <c r="D25" i="10" l="1"/>
  <c r="C25" i="10" s="1"/>
  <c r="F25" i="10" s="1"/>
  <c r="B26" i="10" s="1"/>
  <c r="F40" i="14"/>
  <c r="B41" i="14" s="1"/>
  <c r="D41" i="14" s="1"/>
  <c r="D26" i="10" l="1"/>
  <c r="C26" i="10" s="1"/>
  <c r="F26" i="10"/>
  <c r="B27" i="10" s="1"/>
  <c r="D27" i="10" s="1"/>
  <c r="C27" i="10" s="1"/>
  <c r="C41" i="14"/>
  <c r="L11" i="14"/>
  <c r="M11" i="14" s="1"/>
  <c r="F27" i="10" l="1"/>
  <c r="B28" i="10" s="1"/>
  <c r="D28" i="10" s="1"/>
  <c r="C28" i="10" s="1"/>
  <c r="F41" i="14"/>
  <c r="B42" i="14" s="1"/>
  <c r="D42" i="14" s="1"/>
  <c r="F28" i="10"/>
  <c r="B29" i="10" s="1"/>
  <c r="D29" i="10" s="1"/>
  <c r="C29" i="10" s="1"/>
  <c r="C42" i="14" l="1"/>
  <c r="F29" i="10"/>
  <c r="B30" i="10" s="1"/>
  <c r="D30" i="10" s="1"/>
  <c r="C30" i="10" s="1"/>
  <c r="F42" i="14" l="1"/>
  <c r="B43" i="14" s="1"/>
  <c r="D43" i="14" s="1"/>
  <c r="F30" i="10"/>
  <c r="B31" i="10" s="1"/>
  <c r="D31" i="10" s="1"/>
  <c r="C31" i="10" l="1"/>
  <c r="J10" i="10" s="1"/>
  <c r="K10" i="10"/>
  <c r="C43" i="14"/>
  <c r="F31" i="10"/>
  <c r="B32" i="10" s="1"/>
  <c r="D32" i="10" s="1"/>
  <c r="C32" i="10" l="1"/>
  <c r="F32" i="10" s="1"/>
  <c r="B33" i="10" s="1"/>
  <c r="D33" i="10" s="1"/>
  <c r="C33" i="10" s="1"/>
  <c r="F43" i="14"/>
  <c r="B44" i="14" s="1"/>
  <c r="D44" i="14" s="1"/>
  <c r="C44" i="14" l="1"/>
  <c r="F44" i="14"/>
  <c r="B45" i="14" s="1"/>
  <c r="D45" i="14" s="1"/>
  <c r="F33" i="10"/>
  <c r="B34" i="10" s="1"/>
  <c r="D34" i="10" s="1"/>
  <c r="C34" i="10" s="1"/>
  <c r="C45" i="14" l="1"/>
  <c r="F45" i="14" s="1"/>
  <c r="B46" i="14" s="1"/>
  <c r="D46" i="14" s="1"/>
  <c r="L10" i="10"/>
  <c r="M10" i="10" s="1"/>
  <c r="F34" i="10"/>
  <c r="B35" i="10" s="1"/>
  <c r="D35" i="10" s="1"/>
  <c r="C35" i="10" s="1"/>
  <c r="C46" i="14" l="1"/>
  <c r="F46" i="14" s="1"/>
  <c r="B47" i="14" s="1"/>
  <c r="D47" i="14" s="1"/>
  <c r="F35" i="10"/>
  <c r="B36" i="10" s="1"/>
  <c r="D36" i="10" s="1"/>
  <c r="C36" i="10" s="1"/>
  <c r="F48" i="1"/>
  <c r="E48" i="1"/>
  <c r="D48" i="1"/>
  <c r="C48" i="1"/>
  <c r="F48" i="2"/>
  <c r="E48" i="2"/>
  <c r="D48" i="2"/>
  <c r="C48" i="2"/>
  <c r="F37" i="2"/>
  <c r="E37" i="2"/>
  <c r="D37" i="2"/>
  <c r="C37" i="2"/>
  <c r="F63" i="2"/>
  <c r="E63" i="2"/>
  <c r="D63" i="2"/>
  <c r="C63" i="2"/>
  <c r="F58" i="2"/>
  <c r="E58" i="2"/>
  <c r="D58" i="2"/>
  <c r="C58" i="2"/>
  <c r="F40" i="2"/>
  <c r="E40" i="2"/>
  <c r="D40" i="2"/>
  <c r="C40" i="2"/>
  <c r="F23" i="2"/>
  <c r="E23" i="2"/>
  <c r="D23" i="2"/>
  <c r="C23" i="2"/>
  <c r="F17" i="1"/>
  <c r="F16" i="1" s="1"/>
  <c r="E17" i="1"/>
  <c r="E16" i="1" s="1"/>
  <c r="D16" i="1"/>
  <c r="C16" i="1"/>
  <c r="F13" i="1"/>
  <c r="E13" i="1"/>
  <c r="D13" i="1"/>
  <c r="C13" i="1"/>
  <c r="F9" i="1"/>
  <c r="E9" i="1"/>
  <c r="D9" i="1"/>
  <c r="C47" i="14" l="1"/>
  <c r="F47" i="14" s="1"/>
  <c r="B48" i="14" s="1"/>
  <c r="D48" i="14" s="1"/>
  <c r="K12" i="14" s="1"/>
  <c r="F36" i="10"/>
  <c r="B37" i="10" s="1"/>
  <c r="D37" i="10" s="1"/>
  <c r="C37" i="10" s="1"/>
  <c r="F14" i="1"/>
  <c r="C14" i="1"/>
  <c r="D14" i="1"/>
  <c r="E14" i="1"/>
  <c r="E45" i="2"/>
  <c r="E77" i="2"/>
  <c r="F45" i="2"/>
  <c r="F77" i="2"/>
  <c r="D45" i="2"/>
  <c r="D77" i="2"/>
  <c r="C45" i="2"/>
  <c r="C77" i="2"/>
  <c r="C48" i="14" l="1"/>
  <c r="J12" i="14" s="1"/>
  <c r="F48" i="14"/>
  <c r="B49" i="14" s="1"/>
  <c r="D49" i="14" s="1"/>
  <c r="F37" i="10"/>
  <c r="B38" i="10" s="1"/>
  <c r="D38" i="10" s="1"/>
  <c r="C38" i="10" s="1"/>
  <c r="C49" i="14" l="1"/>
  <c r="F38" i="10"/>
  <c r="B39" i="10" s="1"/>
  <c r="D39" i="10" s="1"/>
  <c r="C39" i="10" s="1"/>
  <c r="F49" i="14" l="1"/>
  <c r="B50" i="14" s="1"/>
  <c r="D50" i="14" s="1"/>
  <c r="C50" i="14" s="1"/>
  <c r="F50" i="14" s="1"/>
  <c r="B51" i="14" s="1"/>
  <c r="D51" i="14" s="1"/>
  <c r="F39" i="10"/>
  <c r="B40" i="10" s="1"/>
  <c r="D40" i="10" s="1"/>
  <c r="C40" i="10" s="1"/>
  <c r="B38" i="2"/>
  <c r="B69" i="2" s="1"/>
  <c r="C22" i="1"/>
  <c r="C51" i="14" l="1"/>
  <c r="F51" i="14" s="1"/>
  <c r="B52" i="14" s="1"/>
  <c r="D52" i="14" s="1"/>
  <c r="C35" i="2"/>
  <c r="C38" i="2" s="1"/>
  <c r="F40" i="10"/>
  <c r="B41" i="10" s="1"/>
  <c r="D41" i="10" s="1"/>
  <c r="C41" i="10" s="1"/>
  <c r="D22" i="1"/>
  <c r="B6" i="2" l="1"/>
  <c r="B74" i="2" s="1"/>
  <c r="D35" i="2"/>
  <c r="D38" i="2" s="1"/>
  <c r="D69" i="2" s="1"/>
  <c r="C69" i="2"/>
  <c r="F41" i="10"/>
  <c r="B42" i="10" s="1"/>
  <c r="D42" i="10" s="1"/>
  <c r="C42" i="10" s="1"/>
  <c r="E22" i="1"/>
  <c r="C52" i="14" l="1"/>
  <c r="E35" i="2"/>
  <c r="E38" i="2" s="1"/>
  <c r="E69" i="2" s="1"/>
  <c r="F42" i="10"/>
  <c r="B43" i="10" s="1"/>
  <c r="D43" i="10" s="1"/>
  <c r="F22" i="1"/>
  <c r="C43" i="10" l="1"/>
  <c r="J11" i="10" s="1"/>
  <c r="K11" i="10"/>
  <c r="F52" i="14"/>
  <c r="B53" i="14" s="1"/>
  <c r="D53" i="14" s="1"/>
  <c r="F35" i="2"/>
  <c r="F38" i="2" s="1"/>
  <c r="F43" i="10"/>
  <c r="B44" i="10" s="1"/>
  <c r="D44" i="10" s="1"/>
  <c r="C44" i="10" l="1"/>
  <c r="C53" i="14"/>
  <c r="F53" i="14" s="1"/>
  <c r="B54" i="14" s="1"/>
  <c r="D54" i="14" s="1"/>
  <c r="F69" i="2"/>
  <c r="G35" i="2"/>
  <c r="G38" i="2" s="1"/>
  <c r="F44" i="10"/>
  <c r="B45" i="10" s="1"/>
  <c r="D45" i="10" s="1"/>
  <c r="C45" i="10" s="1"/>
  <c r="C54" i="14" l="1"/>
  <c r="F54" i="14" s="1"/>
  <c r="B55" i="14" s="1"/>
  <c r="D55" i="14" s="1"/>
  <c r="H35" i="2"/>
  <c r="H38" i="2" s="1"/>
  <c r="G69" i="2"/>
  <c r="C55" i="14" l="1"/>
  <c r="F55" i="14"/>
  <c r="B56" i="14" s="1"/>
  <c r="D56" i="14" s="1"/>
  <c r="L11" i="10"/>
  <c r="M11" i="10" s="1"/>
  <c r="I35" i="2"/>
  <c r="I38" i="2" s="1"/>
  <c r="I69" i="2" s="1"/>
  <c r="H69" i="2"/>
  <c r="F45" i="10"/>
  <c r="B46" i="10" s="1"/>
  <c r="D46" i="10" s="1"/>
  <c r="C46" i="10" l="1"/>
  <c r="C56" i="14"/>
  <c r="F56" i="14" s="1"/>
  <c r="B57" i="14" s="1"/>
  <c r="D57" i="14" s="1"/>
  <c r="F46" i="10"/>
  <c r="B47" i="10" s="1"/>
  <c r="D47" i="10" s="1"/>
  <c r="C47" i="10" s="1"/>
  <c r="C30" i="1"/>
  <c r="C39" i="1" s="1"/>
  <c r="B55" i="1" l="1"/>
  <c r="B56" i="1" s="1"/>
  <c r="C42" i="1"/>
  <c r="C43" i="1" s="1"/>
  <c r="C7" i="2" s="1"/>
  <c r="C49" i="1"/>
  <c r="C50" i="1" s="1"/>
  <c r="L12" i="14" l="1"/>
  <c r="M12" i="14" s="1"/>
  <c r="C57" i="14"/>
  <c r="F47" i="10"/>
  <c r="B48" i="10" s="1"/>
  <c r="D48" i="10" s="1"/>
  <c r="C51" i="1"/>
  <c r="C6" i="2"/>
  <c r="C48" i="10" l="1"/>
  <c r="F57" i="14"/>
  <c r="B58" i="14" s="1"/>
  <c r="D58" i="14" s="1"/>
  <c r="C74" i="2"/>
  <c r="C52" i="1"/>
  <c r="C54" i="1"/>
  <c r="C58" i="14" l="1"/>
  <c r="F58" i="14" s="1"/>
  <c r="B59" i="14" s="1"/>
  <c r="D59" i="14" s="1"/>
  <c r="F48" i="10"/>
  <c r="B49" i="10" s="1"/>
  <c r="D49" i="10" s="1"/>
  <c r="C49" i="10" s="1"/>
  <c r="C59" i="14" l="1"/>
  <c r="F59" i="14" s="1"/>
  <c r="B60" i="14" s="1"/>
  <c r="D60" i="14" s="1"/>
  <c r="K13" i="14" s="1"/>
  <c r="F49" i="10"/>
  <c r="B50" i="10" s="1"/>
  <c r="D50" i="10" s="1"/>
  <c r="C50" i="10" s="1"/>
  <c r="C60" i="14" l="1"/>
  <c r="J13" i="14" s="1"/>
  <c r="F60" i="14"/>
  <c r="B61" i="14" s="1"/>
  <c r="D61" i="14" s="1"/>
  <c r="F50" i="10"/>
  <c r="B51" i="10" s="1"/>
  <c r="D51" i="10" s="1"/>
  <c r="C51" i="10" s="1"/>
  <c r="C61" i="14" l="1"/>
  <c r="F51" i="10"/>
  <c r="B52" i="10" s="1"/>
  <c r="D52" i="10" s="1"/>
  <c r="C52" i="10" s="1"/>
  <c r="F61" i="14" l="1"/>
  <c r="B62" i="14" s="1"/>
  <c r="D62" i="14" s="1"/>
  <c r="C62" i="14"/>
  <c r="F62" i="14" s="1"/>
  <c r="B63" i="14" s="1"/>
  <c r="D63" i="14" s="1"/>
  <c r="F52" i="10"/>
  <c r="B53" i="10" s="1"/>
  <c r="D53" i="10" s="1"/>
  <c r="C53" i="10" s="1"/>
  <c r="C63" i="14" l="1"/>
  <c r="F63" i="14" s="1"/>
  <c r="B64" i="14" s="1"/>
  <c r="D64" i="14" s="1"/>
  <c r="F53" i="10"/>
  <c r="B54" i="10" s="1"/>
  <c r="D54" i="10" s="1"/>
  <c r="C54" i="10" s="1"/>
  <c r="D30" i="1"/>
  <c r="D39" i="1" s="1"/>
  <c r="F54" i="10" l="1"/>
  <c r="B55" i="10" s="1"/>
  <c r="D55" i="10" s="1"/>
  <c r="D49" i="1"/>
  <c r="D50" i="1" s="1"/>
  <c r="D42" i="1"/>
  <c r="D43" i="1" s="1"/>
  <c r="D7" i="2" s="1"/>
  <c r="C55" i="10" l="1"/>
  <c r="J12" i="10" s="1"/>
  <c r="K12" i="10"/>
  <c r="C64" i="14"/>
  <c r="F55" i="10"/>
  <c r="B56" i="10" s="1"/>
  <c r="D56" i="10" s="1"/>
  <c r="D6" i="2"/>
  <c r="D51" i="1"/>
  <c r="C55" i="1"/>
  <c r="C56" i="1" s="1"/>
  <c r="C56" i="10" l="1"/>
  <c r="F64" i="14"/>
  <c r="B65" i="14" s="1"/>
  <c r="D65" i="14" s="1"/>
  <c r="D74" i="2"/>
  <c r="D52" i="1"/>
  <c r="D54" i="1"/>
  <c r="C65" i="14" l="1"/>
  <c r="F56" i="10"/>
  <c r="B57" i="10" s="1"/>
  <c r="D57" i="10" s="1"/>
  <c r="C57" i="10" l="1"/>
  <c r="F65" i="14"/>
  <c r="B66" i="14" s="1"/>
  <c r="D66" i="14" s="1"/>
  <c r="F57" i="10"/>
  <c r="B58" i="10" s="1"/>
  <c r="D58" i="10" s="1"/>
  <c r="C58" i="10" s="1"/>
  <c r="C66" i="14" l="1"/>
  <c r="F66" i="14" s="1"/>
  <c r="B67" i="14" s="1"/>
  <c r="D67" i="14" s="1"/>
  <c r="L12" i="10"/>
  <c r="M12" i="10" s="1"/>
  <c r="C67" i="14" l="1"/>
  <c r="F67" i="14" s="1"/>
  <c r="B68" i="14" s="1"/>
  <c r="D68" i="14" s="1"/>
  <c r="E30" i="1"/>
  <c r="E39" i="1" s="1"/>
  <c r="E42" i="1" s="1"/>
  <c r="E43" i="1" s="1"/>
  <c r="E7" i="2" s="1"/>
  <c r="D55" i="1"/>
  <c r="D56" i="1" s="1"/>
  <c r="F58" i="10"/>
  <c r="B59" i="10" s="1"/>
  <c r="D59" i="10" s="1"/>
  <c r="C59" i="10" l="1"/>
  <c r="C68" i="14"/>
  <c r="F68" i="14"/>
  <c r="B69" i="14" s="1"/>
  <c r="D69" i="14" s="1"/>
  <c r="E49" i="1"/>
  <c r="E50" i="1" s="1"/>
  <c r="E51" i="1"/>
  <c r="F59" i="10" l="1"/>
  <c r="B60" i="10" s="1"/>
  <c r="D60" i="10" s="1"/>
  <c r="E6" i="2"/>
  <c r="E52" i="1"/>
  <c r="E54" i="1"/>
  <c r="C60" i="10" l="1"/>
  <c r="L13" i="14"/>
  <c r="M13" i="14" s="1"/>
  <c r="C69" i="14"/>
  <c r="F69" i="14" s="1"/>
  <c r="B70" i="14" s="1"/>
  <c r="D70" i="14" s="1"/>
  <c r="E74" i="2"/>
  <c r="C70" i="14" l="1"/>
  <c r="F70" i="14"/>
  <c r="B71" i="14" s="1"/>
  <c r="D71" i="14" s="1"/>
  <c r="F60" i="10"/>
  <c r="B61" i="10" s="1"/>
  <c r="D61" i="10" s="1"/>
  <c r="C61" i="10" s="1"/>
  <c r="C71" i="14" l="1"/>
  <c r="F71" i="14" s="1"/>
  <c r="B72" i="14" s="1"/>
  <c r="D72" i="14" s="1"/>
  <c r="K14" i="14" s="1"/>
  <c r="F61" i="10"/>
  <c r="B62" i="10" s="1"/>
  <c r="D62" i="10" s="1"/>
  <c r="C62" i="10" s="1"/>
  <c r="C72" i="14" l="1"/>
  <c r="F62" i="10"/>
  <c r="B63" i="10" s="1"/>
  <c r="D63" i="10" s="1"/>
  <c r="C63" i="10" s="1"/>
  <c r="F72" i="14" l="1"/>
  <c r="B73" i="14" s="1"/>
  <c r="D73" i="14" s="1"/>
  <c r="J14" i="14"/>
  <c r="C73" i="14"/>
  <c r="F63" i="10"/>
  <c r="B64" i="10" s="1"/>
  <c r="D64" i="10" s="1"/>
  <c r="C64" i="10" s="1"/>
  <c r="F73" i="14" l="1"/>
  <c r="B74" i="14" s="1"/>
  <c r="D74" i="14" s="1"/>
  <c r="C74" i="14"/>
  <c r="F74" i="14" s="1"/>
  <c r="B75" i="14" s="1"/>
  <c r="D75" i="14" s="1"/>
  <c r="F64" i="10"/>
  <c r="B65" i="10" s="1"/>
  <c r="D65" i="10" s="1"/>
  <c r="C65" i="10" s="1"/>
  <c r="C75" i="14" l="1"/>
  <c r="F75" i="14" s="1"/>
  <c r="B76" i="14" s="1"/>
  <c r="D76" i="14" s="1"/>
  <c r="F65" i="10"/>
  <c r="B66" i="10" s="1"/>
  <c r="D66" i="10" l="1"/>
  <c r="C66" i="10" s="1"/>
  <c r="F66" i="10" s="1"/>
  <c r="B67" i="10" s="1"/>
  <c r="D67" i="10" s="1"/>
  <c r="C67" i="10" l="1"/>
  <c r="J13" i="10" s="1"/>
  <c r="K13" i="10"/>
  <c r="C76" i="14"/>
  <c r="F67" i="10" l="1"/>
  <c r="B68" i="10" s="1"/>
  <c r="D68" i="10" s="1"/>
  <c r="C68" i="10"/>
  <c r="F76" i="14"/>
  <c r="B77" i="14" s="1"/>
  <c r="D77" i="14" s="1"/>
  <c r="F68" i="10"/>
  <c r="B69" i="10" s="1"/>
  <c r="E55" i="1"/>
  <c r="E56" i="1" s="1"/>
  <c r="D69" i="10" l="1"/>
  <c r="C77" i="14" l="1"/>
  <c r="C69" i="10"/>
  <c r="F77" i="14" l="1"/>
  <c r="B78" i="14" s="1"/>
  <c r="D78" i="14" s="1"/>
  <c r="L13" i="10"/>
  <c r="M13" i="10" s="1"/>
  <c r="F69" i="10"/>
  <c r="B70" i="10" s="1"/>
  <c r="D70" i="10" l="1"/>
  <c r="F12" i="2"/>
  <c r="C70" i="10" l="1"/>
  <c r="C78" i="14"/>
  <c r="F70" i="10"/>
  <c r="B71" i="10" s="1"/>
  <c r="E12" i="2"/>
  <c r="F75" i="2"/>
  <c r="F78" i="14" l="1"/>
  <c r="B79" i="14" s="1"/>
  <c r="D79" i="14" s="1"/>
  <c r="D71" i="10"/>
  <c r="E29" i="2"/>
  <c r="E75" i="2"/>
  <c r="E76" i="2" s="1"/>
  <c r="D12" i="2"/>
  <c r="C71" i="10" l="1"/>
  <c r="F71" i="10" s="1"/>
  <c r="B72" i="10" s="1"/>
  <c r="B12" i="2"/>
  <c r="D75" i="2"/>
  <c r="D76" i="2" s="1"/>
  <c r="D29" i="2"/>
  <c r="C12" i="2"/>
  <c r="C79" i="14" l="1"/>
  <c r="D72" i="10"/>
  <c r="C72" i="10" s="1"/>
  <c r="F72" i="10" s="1"/>
  <c r="B73" i="10" s="1"/>
  <c r="B29" i="2"/>
  <c r="B75" i="2"/>
  <c r="B76" i="2" s="1"/>
  <c r="C29" i="2"/>
  <c r="C75" i="2"/>
  <c r="C76" i="2" s="1"/>
  <c r="F79" i="14" l="1"/>
  <c r="B80" i="14" s="1"/>
  <c r="D80" i="14" s="1"/>
  <c r="D73" i="10"/>
  <c r="C73" i="10" s="1"/>
  <c r="F73" i="10" s="1"/>
  <c r="B74" i="10" s="1"/>
  <c r="D74" i="10" l="1"/>
  <c r="C74" i="10" s="1"/>
  <c r="F74" i="10"/>
  <c r="B75" i="10" s="1"/>
  <c r="C80" i="14" l="1"/>
  <c r="D75" i="10"/>
  <c r="C75" i="10" s="1"/>
  <c r="F75" i="10" s="1"/>
  <c r="B76" i="10" s="1"/>
  <c r="F30" i="1"/>
  <c r="F39" i="1" s="1"/>
  <c r="F55" i="1"/>
  <c r="F80" i="14" l="1"/>
  <c r="B81" i="14" s="1"/>
  <c r="D81" i="14" s="1"/>
  <c r="D76" i="10"/>
  <c r="C76" i="10" s="1"/>
  <c r="F76" i="10"/>
  <c r="B77" i="10" s="1"/>
  <c r="F42" i="1"/>
  <c r="F49" i="1" s="1"/>
  <c r="F50" i="1" s="1"/>
  <c r="D77" i="10" l="1"/>
  <c r="F43" i="1"/>
  <c r="F51" i="1" s="1"/>
  <c r="F56" i="1"/>
  <c r="L14" i="14" l="1"/>
  <c r="M14" i="14" s="1"/>
  <c r="C81" i="14"/>
  <c r="C77" i="10"/>
  <c r="F7" i="2"/>
  <c r="F52" i="1"/>
  <c r="F54" i="1"/>
  <c r="F81" i="14" l="1"/>
  <c r="B82" i="14" s="1"/>
  <c r="D82" i="14" s="1"/>
  <c r="F77" i="10"/>
  <c r="B78" i="10" s="1"/>
  <c r="F6" i="2"/>
  <c r="F74" i="2" s="1"/>
  <c r="F76" i="2" s="1"/>
  <c r="G7" i="2"/>
  <c r="C82" i="14" l="1"/>
  <c r="F82" i="14" s="1"/>
  <c r="B83" i="14" s="1"/>
  <c r="D83" i="14" s="1"/>
  <c r="D78" i="10"/>
  <c r="F29" i="2"/>
  <c r="H7" i="2"/>
  <c r="G6" i="2"/>
  <c r="C83" i="14" l="1"/>
  <c r="F83" i="14" s="1"/>
  <c r="B84" i="14" s="1"/>
  <c r="D84" i="14" s="1"/>
  <c r="K15" i="14" s="1"/>
  <c r="C78" i="10"/>
  <c r="G29" i="2"/>
  <c r="G74" i="2"/>
  <c r="G76" i="2" s="1"/>
  <c r="H6" i="2"/>
  <c r="I7" i="2"/>
  <c r="I6" i="2" s="1"/>
  <c r="C84" i="14" l="1"/>
  <c r="F78" i="10"/>
  <c r="B79" i="10" s="1"/>
  <c r="I29" i="2"/>
  <c r="I74" i="2"/>
  <c r="I76" i="2" s="1"/>
  <c r="H29" i="2"/>
  <c r="H74" i="2"/>
  <c r="H76" i="2" s="1"/>
  <c r="F84" i="14" l="1"/>
  <c r="B85" i="14" s="1"/>
  <c r="D85" i="14" s="1"/>
  <c r="J15" i="14"/>
  <c r="C85" i="14"/>
  <c r="D79" i="10"/>
  <c r="K14" i="10" s="1"/>
  <c r="F85" i="14" l="1"/>
  <c r="B86" i="14" s="1"/>
  <c r="D86" i="14" s="1"/>
  <c r="C86" i="14"/>
  <c r="F86" i="14" s="1"/>
  <c r="B87" i="14" s="1"/>
  <c r="D87" i="14" s="1"/>
  <c r="C79" i="10"/>
  <c r="F79" i="10" l="1"/>
  <c r="B80" i="10" s="1"/>
  <c r="J14" i="10"/>
  <c r="C87" i="14"/>
  <c r="F87" i="14" s="1"/>
  <c r="B88" i="14" s="1"/>
  <c r="D88" i="14" s="1"/>
  <c r="D80" i="10"/>
  <c r="C80" i="10" l="1"/>
  <c r="F80" i="10" l="1"/>
  <c r="B81" i="10" s="1"/>
  <c r="C88" i="14"/>
  <c r="D81" i="10"/>
  <c r="L15" i="14" l="1"/>
  <c r="M15" i="14" s="1"/>
  <c r="F88" i="14"/>
  <c r="B89" i="14" s="1"/>
  <c r="D89" i="14" s="1"/>
  <c r="C81" i="10"/>
  <c r="L14" i="10" l="1"/>
  <c r="M14" i="10" s="1"/>
  <c r="F81" i="10"/>
  <c r="B82" i="10" s="1"/>
  <c r="C89" i="14" l="1"/>
  <c r="D82" i="10"/>
  <c r="F89" i="14" l="1"/>
  <c r="B90" i="14" s="1"/>
  <c r="D90" i="14" s="1"/>
  <c r="C82" i="10"/>
  <c r="F82" i="10" l="1"/>
  <c r="B83" i="10" s="1"/>
  <c r="C90" i="14" l="1"/>
  <c r="D83" i="10"/>
  <c r="F90" i="14" l="1"/>
  <c r="B91" i="14" s="1"/>
  <c r="D91" i="14" s="1"/>
  <c r="K16" i="14" s="1"/>
  <c r="C83" i="10"/>
  <c r="F83" i="10" l="1"/>
  <c r="B84" i="10" s="1"/>
  <c r="C91" i="14" l="1"/>
  <c r="J16" i="14" s="1"/>
  <c r="D92" i="14"/>
  <c r="K17" i="14"/>
  <c r="D84" i="10"/>
  <c r="C92" i="14" l="1"/>
  <c r="F91" i="14"/>
  <c r="C84" i="10"/>
  <c r="J17" i="14" l="1"/>
  <c r="L16" i="14"/>
  <c r="M16" i="14" s="1"/>
  <c r="F84" i="10"/>
  <c r="B85" i="10" s="1"/>
  <c r="M17" i="14" l="1"/>
  <c r="L17" i="14"/>
  <c r="D85" i="10"/>
  <c r="C85" i="10" l="1"/>
  <c r="F85" i="10" l="1"/>
  <c r="B86" i="10" s="1"/>
  <c r="D86" i="10" l="1"/>
  <c r="C86" i="10" l="1"/>
  <c r="F86" i="10" l="1"/>
  <c r="B87" i="10" s="1"/>
  <c r="D87" i="10" l="1"/>
  <c r="C87" i="10" s="1"/>
  <c r="F87" i="10" s="1"/>
  <c r="B88" i="10" s="1"/>
  <c r="D88" i="10" l="1"/>
  <c r="C88" i="10" s="1"/>
  <c r="F88" i="10"/>
  <c r="B89" i="10" s="1"/>
  <c r="D89" i="10" l="1"/>
  <c r="C89" i="10" s="1"/>
  <c r="F89" i="10"/>
  <c r="B90" i="10" s="1"/>
  <c r="D90" i="10" l="1"/>
  <c r="C90" i="10" s="1"/>
  <c r="F90" i="10"/>
  <c r="B91" i="10" s="1"/>
  <c r="D91" i="10" l="1"/>
  <c r="K15" i="10" s="1"/>
  <c r="C91" i="10" l="1"/>
  <c r="J15" i="10" s="1"/>
  <c r="D92" i="10"/>
  <c r="K17" i="10"/>
  <c r="C92" i="10" l="1"/>
  <c r="F91" i="10"/>
  <c r="J17" i="10" l="1"/>
  <c r="L15" i="10"/>
  <c r="M15" i="10" s="1"/>
  <c r="M17" i="10" l="1"/>
  <c r="L17" i="10"/>
</calcChain>
</file>

<file path=xl/comments1.xml><?xml version="1.0" encoding="utf-8"?>
<comments xmlns="http://schemas.openxmlformats.org/spreadsheetml/2006/main">
  <authors>
    <author>hp</author>
  </authors>
  <commentList>
    <comment ref="B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<sst xmlns="http://schemas.openxmlformats.org/spreadsheetml/2006/main" count="354" uniqueCount="199">
  <si>
    <r>
      <rPr>
        <sz val="6"/>
        <color rgb="FFFFFFFF"/>
        <rFont val="Arial MT"/>
        <family val="2"/>
      </rPr>
      <t>DESCRIPTION</t>
    </r>
  </si>
  <si>
    <r>
      <rPr>
        <sz val="6"/>
        <color rgb="FFFFFFFF"/>
        <rFont val="Arial MT"/>
        <family val="2"/>
      </rPr>
      <t>Projected</t>
    </r>
  </si>
  <si>
    <r>
      <rPr>
        <sz val="6"/>
        <rFont val="Arial MT"/>
        <family val="2"/>
      </rPr>
      <t>Operating Income</t>
    </r>
  </si>
  <si>
    <r>
      <rPr>
        <sz val="6"/>
        <rFont val="Arial MT"/>
        <family val="2"/>
      </rPr>
      <t>Export sales – Direct</t>
    </r>
  </si>
  <si>
    <r>
      <rPr>
        <sz val="6"/>
        <rFont val="Arial MT"/>
        <family val="2"/>
      </rPr>
      <t>Export sales – Deemed</t>
    </r>
  </si>
  <si>
    <r>
      <rPr>
        <sz val="6"/>
        <rFont val="Arial MT"/>
        <family val="2"/>
      </rPr>
      <t>-  Credit card sales (as a part of domestic sales)</t>
    </r>
  </si>
  <si>
    <r>
      <rPr>
        <sz val="6"/>
        <rFont val="Arial MT"/>
        <family val="2"/>
      </rPr>
      <t>Total Sales</t>
    </r>
  </si>
  <si>
    <r>
      <rPr>
        <sz val="6"/>
        <rFont val="Arial MT"/>
        <family val="2"/>
      </rPr>
      <t>Other Income</t>
    </r>
  </si>
  <si>
    <r>
      <rPr>
        <sz val="6"/>
        <rFont val="Arial MT"/>
        <family val="2"/>
      </rPr>
      <t>Total</t>
    </r>
  </si>
  <si>
    <r>
      <rPr>
        <sz val="6"/>
        <rFont val="Arial MT"/>
        <family val="2"/>
      </rPr>
      <t>Non-Operating Income</t>
    </r>
  </si>
  <si>
    <r>
      <rPr>
        <sz val="6"/>
        <rFont val="Arial MT"/>
        <family val="2"/>
      </rPr>
      <t>Interest and dividend</t>
    </r>
  </si>
  <si>
    <r>
      <rPr>
        <sz val="6"/>
        <rFont val="Arial MT"/>
        <family val="2"/>
      </rPr>
      <t>Total Income</t>
    </r>
  </si>
  <si>
    <r>
      <rPr>
        <sz val="6"/>
        <rFont val="Arial MT"/>
        <family val="2"/>
      </rPr>
      <t>Cost of Goods Sold:</t>
    </r>
  </si>
  <si>
    <r>
      <rPr>
        <sz val="6"/>
        <rFont val="Arial MT"/>
        <family val="2"/>
      </rPr>
      <t>Opening Stock</t>
    </r>
  </si>
  <si>
    <r>
      <rPr>
        <sz val="6"/>
        <rFont val="Arial MT"/>
        <family val="2"/>
      </rPr>
      <t>Add: CIF Value of Imports</t>
    </r>
  </si>
  <si>
    <r>
      <rPr>
        <sz val="6"/>
        <rFont val="Arial MT"/>
        <family val="2"/>
      </rPr>
      <t>Less:Closing Stock</t>
    </r>
  </si>
  <si>
    <r>
      <rPr>
        <sz val="6"/>
        <rFont val="Arial MT"/>
        <family val="2"/>
      </rPr>
      <t>Selling, General &amp; Admin Expenses</t>
    </r>
  </si>
  <si>
    <r>
      <rPr>
        <sz val="6"/>
        <rFont val="Arial MT"/>
        <family val="2"/>
      </rPr>
      <t>Salary / Wages</t>
    </r>
  </si>
  <si>
    <r>
      <rPr>
        <sz val="6"/>
        <rFont val="Arial MT"/>
        <family val="2"/>
      </rPr>
      <t>Selling Expenses</t>
    </r>
  </si>
  <si>
    <r>
      <rPr>
        <sz val="6"/>
        <rFont val="Arial MT"/>
        <family val="2"/>
      </rPr>
      <t>Other admin &amp; general expenses</t>
    </r>
  </si>
  <si>
    <r>
      <rPr>
        <sz val="6"/>
        <rFont val="Arial MT"/>
        <family val="2"/>
      </rPr>
      <t>Baddebts</t>
    </r>
  </si>
  <si>
    <r>
      <rPr>
        <sz val="6"/>
        <rFont val="Arial MT"/>
        <family val="2"/>
      </rPr>
      <t>Rent paid for premises</t>
    </r>
  </si>
  <si>
    <r>
      <rPr>
        <sz val="6"/>
        <rFont val="Arial MT"/>
        <family val="2"/>
      </rPr>
      <t>Remuneration to partners / directors</t>
    </r>
  </si>
  <si>
    <r>
      <rPr>
        <sz val="6"/>
        <rFont val="Arial MT"/>
        <family val="2"/>
      </rPr>
      <t>Interest expenses</t>
    </r>
  </si>
  <si>
    <r>
      <rPr>
        <sz val="6"/>
        <rFont val="Arial MT"/>
        <family val="2"/>
      </rPr>
      <t>On Term Loan</t>
    </r>
  </si>
  <si>
    <r>
      <rPr>
        <sz val="6"/>
        <rFont val="Arial MT"/>
        <family val="2"/>
      </rPr>
      <t>On CC/OD a/cs</t>
    </r>
  </si>
  <si>
    <r>
      <rPr>
        <sz val="6"/>
        <rFont val="Arial MT"/>
        <family val="2"/>
      </rPr>
      <t>Other Interest</t>
    </r>
  </si>
  <si>
    <r>
      <rPr>
        <sz val="6"/>
        <rFont val="Arial MT"/>
        <family val="2"/>
      </rPr>
      <t>Interest on unsecured loans (Considered as Quasi Equity)</t>
    </r>
  </si>
  <si>
    <r>
      <rPr>
        <sz val="6"/>
        <rFont val="Arial MT"/>
        <family val="2"/>
      </rPr>
      <t>Other Non-Cash Expenses</t>
    </r>
  </si>
  <si>
    <r>
      <rPr>
        <sz val="6"/>
        <rFont val="Arial MT"/>
        <family val="2"/>
      </rPr>
      <t>Depreciation / Amortisation</t>
    </r>
  </si>
  <si>
    <r>
      <rPr>
        <sz val="6"/>
        <rFont val="Arial MT"/>
        <family val="2"/>
      </rPr>
      <t>Non-Operating Exp</t>
    </r>
  </si>
  <si>
    <r>
      <rPr>
        <sz val="6"/>
        <rFont val="Arial MT"/>
        <family val="2"/>
      </rPr>
      <t>Profit before tax</t>
    </r>
  </si>
  <si>
    <r>
      <rPr>
        <sz val="6"/>
        <rFont val="Arial MT"/>
        <family val="2"/>
      </rPr>
      <t>Deferred Tax Liability</t>
    </r>
  </si>
  <si>
    <r>
      <rPr>
        <sz val="6"/>
        <rFont val="Arial MT"/>
        <family val="2"/>
      </rPr>
      <t>Deferred Tax Asset</t>
    </r>
  </si>
  <si>
    <r>
      <rPr>
        <sz val="6"/>
        <rFont val="Arial MT"/>
        <family val="2"/>
      </rPr>
      <t>Tax provision/Tax paid</t>
    </r>
  </si>
  <si>
    <r>
      <rPr>
        <sz val="6"/>
        <rFont val="Arial MT"/>
        <family val="2"/>
      </rPr>
      <t>Profit after tax</t>
    </r>
  </si>
  <si>
    <r>
      <rPr>
        <sz val="6"/>
        <rFont val="Arial MT"/>
        <family val="2"/>
      </rPr>
      <t>LIABILITIES</t>
    </r>
  </si>
  <si>
    <r>
      <rPr>
        <sz val="6"/>
        <rFont val="Arial MT"/>
        <family val="2"/>
      </rPr>
      <t>Deferred Tax Liabilities</t>
    </r>
  </si>
  <si>
    <r>
      <rPr>
        <sz val="6"/>
        <rFont val="Arial MT"/>
        <family val="2"/>
      </rPr>
      <t>Secured Loans</t>
    </r>
  </si>
  <si>
    <r>
      <rPr>
        <sz val="6"/>
        <rFont val="Arial MT"/>
        <family val="2"/>
      </rPr>
      <t>CC/OD</t>
    </r>
  </si>
  <si>
    <r>
      <rPr>
        <sz val="6"/>
        <rFont val="Arial MT"/>
        <family val="2"/>
      </rPr>
      <t>Installment due in next 1 year</t>
    </r>
  </si>
  <si>
    <r>
      <rPr>
        <sz val="6"/>
        <rFont val="Arial MT"/>
        <family val="2"/>
      </rPr>
      <t>Installment due in after 1 year</t>
    </r>
  </si>
  <si>
    <r>
      <rPr>
        <sz val="6"/>
        <rFont val="Arial MT"/>
        <family val="2"/>
      </rPr>
      <t>Unsecured Loans</t>
    </r>
  </si>
  <si>
    <r>
      <rPr>
        <sz val="6"/>
        <rFont val="Arial MT"/>
        <family val="2"/>
      </rPr>
      <t>Quasi Equity</t>
    </r>
  </si>
  <si>
    <r>
      <rPr>
        <sz val="6"/>
        <rFont val="Arial MT"/>
        <family val="2"/>
      </rPr>
      <t>Other – UNS – Short Term</t>
    </r>
  </si>
  <si>
    <r>
      <rPr>
        <sz val="6"/>
        <rFont val="Arial MT"/>
        <family val="2"/>
      </rPr>
      <t>Other – UNS – Long Term</t>
    </r>
  </si>
  <si>
    <r>
      <rPr>
        <sz val="6"/>
        <rFont val="Arial MT"/>
        <family val="2"/>
      </rPr>
      <t>Current Liabilities</t>
    </r>
  </si>
  <si>
    <r>
      <rPr>
        <sz val="6"/>
        <rFont val="Arial MT"/>
        <family val="2"/>
      </rPr>
      <t>Sundry Creditors</t>
    </r>
  </si>
  <si>
    <r>
      <rPr>
        <sz val="6"/>
        <rFont val="Arial MT"/>
        <family val="2"/>
      </rPr>
      <t>Provisions for expenses</t>
    </r>
  </si>
  <si>
    <r>
      <rPr>
        <sz val="6"/>
        <rFont val="Arial MT"/>
        <family val="2"/>
      </rPr>
      <t>Advance  for  raw  material  (advance  for  mobilization  against BG)</t>
    </r>
  </si>
  <si>
    <r>
      <rPr>
        <sz val="6"/>
        <rFont val="Arial MT"/>
        <family val="2"/>
      </rPr>
      <t>Other Current liabilities</t>
    </r>
  </si>
  <si>
    <r>
      <rPr>
        <sz val="6"/>
        <color rgb="FFFFFFFF"/>
        <rFont val="Arial MT"/>
        <family val="2"/>
      </rPr>
      <t>TOTAL LIABILITIES</t>
    </r>
  </si>
  <si>
    <r>
      <rPr>
        <sz val="6"/>
        <color rgb="FF333333"/>
        <rFont val="Arial MT"/>
        <family val="2"/>
      </rPr>
      <t>ASSETS</t>
    </r>
  </si>
  <si>
    <r>
      <rPr>
        <sz val="6"/>
        <rFont val="Arial MT"/>
        <family val="2"/>
      </rPr>
      <t>Fixed Assets (Opening)</t>
    </r>
  </si>
  <si>
    <r>
      <rPr>
        <sz val="6"/>
        <rFont val="Arial MT"/>
        <family val="2"/>
      </rPr>
      <t>Addition to Fixed Assets (net of sales)</t>
    </r>
  </si>
  <si>
    <r>
      <rPr>
        <sz val="6"/>
        <rFont val="Arial MT"/>
        <family val="2"/>
      </rPr>
      <t>Investments</t>
    </r>
  </si>
  <si>
    <r>
      <rPr>
        <sz val="6"/>
        <rFont val="Arial MT"/>
        <family val="2"/>
      </rPr>
      <t>In Group concerns</t>
    </r>
  </si>
  <si>
    <r>
      <rPr>
        <sz val="6"/>
        <rFont val="Arial MT"/>
        <family val="2"/>
      </rPr>
      <t>Long Term</t>
    </r>
  </si>
  <si>
    <r>
      <rPr>
        <sz val="6"/>
        <rFont val="Arial MT"/>
        <family val="2"/>
      </rPr>
      <t>Short Term</t>
    </r>
  </si>
  <si>
    <r>
      <rPr>
        <sz val="6"/>
        <rFont val="Arial MT"/>
        <family val="2"/>
      </rPr>
      <t>Current Assets</t>
    </r>
  </si>
  <si>
    <r>
      <rPr>
        <sz val="6"/>
        <rFont val="Arial MT"/>
        <family val="2"/>
      </rPr>
      <t>Cash &amp; Bank Balances</t>
    </r>
  </si>
  <si>
    <r>
      <rPr>
        <sz val="6"/>
        <rFont val="Arial MT"/>
        <family val="2"/>
      </rPr>
      <t>Margin Money</t>
    </r>
  </si>
  <si>
    <r>
      <rPr>
        <sz val="6"/>
        <rFont val="Arial MT"/>
        <family val="2"/>
      </rPr>
      <t>Inventories</t>
    </r>
  </si>
  <si>
    <r>
      <rPr>
        <sz val="6"/>
        <rFont val="Arial MT"/>
        <family val="2"/>
      </rPr>
      <t>Sundry Debtors</t>
    </r>
  </si>
  <si>
    <r>
      <rPr>
        <sz val="6"/>
        <rFont val="Arial MT"/>
        <family val="2"/>
      </rPr>
      <t>Over 6 Months – Export Receivable</t>
    </r>
  </si>
  <si>
    <r>
      <rPr>
        <sz val="6"/>
        <rFont val="Arial MT"/>
        <family val="2"/>
      </rPr>
      <t>Over 6 Months – Domestic Receivable</t>
    </r>
  </si>
  <si>
    <r>
      <rPr>
        <sz val="6"/>
        <rFont val="Arial MT"/>
        <family val="2"/>
      </rPr>
      <t>Less than 6 months – Export Receivable</t>
    </r>
  </si>
  <si>
    <r>
      <rPr>
        <sz val="6"/>
        <rFont val="Arial MT"/>
        <family val="2"/>
      </rPr>
      <t>Less than 6 months – Domestic Receivable</t>
    </r>
  </si>
  <si>
    <r>
      <rPr>
        <sz val="6"/>
        <rFont val="Arial MT"/>
        <family val="2"/>
      </rPr>
      <t>Factor Funding (Including Export &amp; Domestic)</t>
    </r>
  </si>
  <si>
    <r>
      <rPr>
        <sz val="6"/>
        <rFont val="Arial MT"/>
        <family val="2"/>
      </rPr>
      <t>Other current assets</t>
    </r>
  </si>
  <si>
    <r>
      <rPr>
        <sz val="6"/>
        <rFont val="Arial MT"/>
        <family val="2"/>
      </rPr>
      <t>Loans &amp; Advances</t>
    </r>
  </si>
  <si>
    <r>
      <rPr>
        <sz val="6"/>
        <rFont val="Arial MT"/>
        <family val="2"/>
      </rPr>
      <t>Long term security deposits</t>
    </r>
  </si>
  <si>
    <r>
      <rPr>
        <sz val="6"/>
        <rFont val="Arial MT"/>
        <family val="2"/>
      </rPr>
      <t>Others Advances</t>
    </r>
  </si>
  <si>
    <r>
      <rPr>
        <sz val="6"/>
        <rFont val="Arial MT"/>
        <family val="2"/>
      </rPr>
      <t>Fictitious Assets</t>
    </r>
  </si>
  <si>
    <r>
      <rPr>
        <sz val="6"/>
        <rFont val="Arial MT"/>
        <family val="2"/>
      </rPr>
      <t>Misc Expenditure not w/off</t>
    </r>
  </si>
  <si>
    <r>
      <rPr>
        <sz val="6"/>
        <rFont val="Arial MT"/>
        <family val="2"/>
      </rPr>
      <t>Other Intangible Assets</t>
    </r>
  </si>
  <si>
    <r>
      <rPr>
        <sz val="6"/>
        <rFont val="Arial MT"/>
        <family val="2"/>
      </rPr>
      <t>Debit Bal. of P &amp; L Account</t>
    </r>
  </si>
  <si>
    <r>
      <rPr>
        <sz val="6"/>
        <color rgb="FFFFFFFF"/>
        <rFont val="Arial MT"/>
        <family val="2"/>
      </rPr>
      <t>TOTAL ASSETS</t>
    </r>
  </si>
  <si>
    <t>Total</t>
  </si>
  <si>
    <t>Particulars</t>
  </si>
  <si>
    <t>Sr No</t>
  </si>
  <si>
    <t>Net Fixed Assets</t>
  </si>
  <si>
    <t>Less : Depreciation</t>
  </si>
  <si>
    <t>Leverage - TOL / ATNW</t>
  </si>
  <si>
    <t>Inventory Tunrover Days</t>
  </si>
  <si>
    <t>Debtors Turnover Days</t>
  </si>
  <si>
    <t>Creditors Turnover Days</t>
  </si>
  <si>
    <t>EBIDTA / TOI (%)</t>
  </si>
  <si>
    <t>PAT / TOI (%)</t>
  </si>
  <si>
    <t>DSCR</t>
  </si>
  <si>
    <r>
      <rPr>
        <sz val="6"/>
        <rFont val="Arial MT"/>
        <family val="2"/>
      </rPr>
      <t>Installment due in next 1 year</t>
    </r>
    <r>
      <rPr>
        <sz val="6"/>
        <rFont val="Arial MT"/>
      </rPr>
      <t xml:space="preserve"> + Interest</t>
    </r>
  </si>
  <si>
    <t>ROI</t>
  </si>
  <si>
    <t>Opening Balance</t>
  </si>
  <si>
    <t>Principal</t>
  </si>
  <si>
    <t>Interest</t>
  </si>
  <si>
    <t>Closing Balance</t>
  </si>
  <si>
    <t>Loan Details</t>
  </si>
  <si>
    <t>Amount</t>
  </si>
  <si>
    <t>Tenure</t>
  </si>
  <si>
    <t>FY 2025-26</t>
  </si>
  <si>
    <t>FY 2026-27</t>
  </si>
  <si>
    <t>FY 2027-28</t>
  </si>
  <si>
    <t>FY 2028-29</t>
  </si>
  <si>
    <t>FY 2029-30</t>
  </si>
  <si>
    <t>Rate</t>
  </si>
  <si>
    <t>Total Depreciation</t>
  </si>
  <si>
    <t>NCA</t>
  </si>
  <si>
    <t>Depreciation</t>
  </si>
  <si>
    <t>Project Report</t>
  </si>
  <si>
    <r>
      <t>Long term loans</t>
    </r>
    <r>
      <rPr>
        <sz val="6"/>
        <rFont val="Arial MT"/>
      </rPr>
      <t xml:space="preserve"> - Term Loan</t>
    </r>
  </si>
  <si>
    <t>Summary of Term Loan</t>
  </si>
  <si>
    <t>P&amp;L Ratios</t>
  </si>
  <si>
    <t>Balance Sheet Ratios</t>
  </si>
  <si>
    <t>Depreciation Chart Year Wise</t>
  </si>
  <si>
    <t>BALANCE SHEET</t>
  </si>
  <si>
    <r>
      <rPr>
        <b/>
        <sz val="6"/>
        <color rgb="FF333333"/>
        <rFont val="Arial MT"/>
      </rPr>
      <t>PROFITABILITY STATEMENT</t>
    </r>
  </si>
  <si>
    <t>No</t>
  </si>
  <si>
    <t>FY 2030-31</t>
  </si>
  <si>
    <t>Total Capital</t>
  </si>
  <si>
    <t>Share Premium</t>
  </si>
  <si>
    <t>Reserves &amp; Surplus</t>
  </si>
  <si>
    <t>EMI</t>
  </si>
  <si>
    <t>Sr. No.</t>
  </si>
  <si>
    <t>Name of Supplier</t>
  </si>
  <si>
    <t>Description of machinery</t>
  </si>
  <si>
    <t>Nos</t>
  </si>
  <si>
    <t>Customer Margin</t>
  </si>
  <si>
    <t>Note</t>
  </si>
  <si>
    <t>No of Machines</t>
  </si>
  <si>
    <t>Annual Production (350 days)</t>
  </si>
  <si>
    <t>Proposed Capacity Utilisation</t>
  </si>
  <si>
    <t>Domestic Sales (including credit card sales) - Jobwork Income</t>
  </si>
  <si>
    <t>Advance to Supplier for Fixed Assets</t>
  </si>
  <si>
    <t>Proposed Production per day per Machine</t>
  </si>
  <si>
    <t>Other purchases</t>
  </si>
  <si>
    <t>OD</t>
  </si>
  <si>
    <t>Capital</t>
  </si>
  <si>
    <t>Selling Price per mtr</t>
  </si>
  <si>
    <t>Term Loan - 1 Proposed</t>
  </si>
  <si>
    <t>Machinery TL - 1</t>
  </si>
  <si>
    <t>TL 1 Ammortization Schedule</t>
  </si>
  <si>
    <t>FY 2030-32</t>
  </si>
  <si>
    <t>FY 2032-33</t>
  </si>
  <si>
    <t>FY 2033-34</t>
  </si>
  <si>
    <t>Proposed Machinery - Phase 1</t>
  </si>
  <si>
    <t>Proposed Machinery - Phase 2</t>
  </si>
  <si>
    <t>Note - 1</t>
  </si>
  <si>
    <t>Note - 2</t>
  </si>
  <si>
    <t>FY 2031-32</t>
  </si>
  <si>
    <t>Summary of Total Term Loan Repayment</t>
  </si>
  <si>
    <t>Phase 1</t>
  </si>
  <si>
    <t>Phase 2</t>
  </si>
  <si>
    <t>Cost of Project</t>
  </si>
  <si>
    <t>Means of Finance</t>
  </si>
  <si>
    <t>Plant &amp; Machinery</t>
  </si>
  <si>
    <t>Term Loan 1</t>
  </si>
  <si>
    <t>Term Loan 2</t>
  </si>
  <si>
    <t>Partner's Capital</t>
  </si>
  <si>
    <t>Quasi Capital in form of USL</t>
  </si>
  <si>
    <t>Working Capital</t>
  </si>
  <si>
    <t>Working Capital - OD</t>
  </si>
  <si>
    <t>K D Tex Fab</t>
  </si>
  <si>
    <t>Rajkot Hardware</t>
  </si>
  <si>
    <t>Qingdao Huifang Textile Machinery Co., Ltd</t>
  </si>
  <si>
    <t>Waterjet</t>
  </si>
  <si>
    <t>Sadguru Enterprise</t>
  </si>
  <si>
    <t>Shital Envirotech Private Limited</t>
  </si>
  <si>
    <t>SM Transformer</t>
  </si>
  <si>
    <t>Ananta Electricals</t>
  </si>
  <si>
    <t>Gateway Global Logistics LLP</t>
  </si>
  <si>
    <t>Machinery TL - 2</t>
  </si>
  <si>
    <t>Amount in Lakhs</t>
  </si>
  <si>
    <t>Amount in lakhs</t>
  </si>
  <si>
    <t>7 Years (including Moratorium of 6 Months)</t>
  </si>
  <si>
    <t>Machinery Disbursement is planned in April, 2026.</t>
  </si>
  <si>
    <t>So EMI starts from April, 2026</t>
  </si>
  <si>
    <t>Total in Lakhs</t>
  </si>
  <si>
    <t>Machinery Disbursement is planned in November, 2026.</t>
  </si>
  <si>
    <t>So EMI starts from November, 2026</t>
  </si>
  <si>
    <t>Phase 1 Machinery is planned to be installed in May, 2026</t>
  </si>
  <si>
    <t>Phase 2 Machinery is planned to be installed in December, 2026</t>
  </si>
  <si>
    <t>Proposed Production And Sales Calculation - Phase 1 - 23 Waterjet Machines</t>
  </si>
  <si>
    <t>Proposed Production And Sales Calculation - Phase 2 - 16 Waterjet Machines</t>
  </si>
  <si>
    <t>Commercial Production Start date considered from 01-06-2026</t>
  </si>
  <si>
    <t>Hence, 275 days Production Considered for FY 2026-27</t>
  </si>
  <si>
    <t>Commercial Production Start date considered from 01-01-2027</t>
  </si>
  <si>
    <t>Hence, 90 days Production Considered for FY 2026-27</t>
  </si>
  <si>
    <t>Proposed Annual Sales in Lakhs</t>
  </si>
  <si>
    <t>Proposed Total Annual Sales in Lakhs</t>
  </si>
  <si>
    <t>TOI in Lakhs</t>
  </si>
  <si>
    <t>EBIDTA in Lakhs</t>
  </si>
  <si>
    <t>PAT in Lakhs</t>
  </si>
  <si>
    <t>ATNW in Lakhs</t>
  </si>
  <si>
    <t>TOL in Lakhs</t>
  </si>
  <si>
    <t>Phase 1 - 24 Waterjet Machines - List of Proposed Machinery</t>
  </si>
  <si>
    <t>Phase 2 - 16 Waterjet Machines - List of Proposed Machinery</t>
  </si>
  <si>
    <t>Dollar Rate Considered for Conversion is Rs 92 per Dollar</t>
  </si>
  <si>
    <t>Rs 251.59 Lakhs</t>
  </si>
  <si>
    <t>Rs 158.24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</si>
</sst>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0"/>
      <color rgb="FF000000"/>
      <name val="Times New Roman"/>
      <charset val="204"/>
    </font>
    <font>
      <sz val="6"/>
      <name val="Arial MT"/>
    </font>
    <font>
      <sz val="6"/>
      <color rgb="FFFFFFFF"/>
      <name val="Arial MT"/>
      <family val="2"/>
    </font>
    <font>
      <sz val="6"/>
      <color rgb="FF333333"/>
      <name val="Arial MT"/>
      <family val="2"/>
    </font>
    <font>
      <sz val="6"/>
      <name val="Arial MT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6"/>
      <color rgb="FF000000"/>
      <name val="Arial mt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u/>
      <sz val="20"/>
      <color rgb="FF000000"/>
      <name val="zurich bt"/>
    </font>
    <font>
      <sz val="10"/>
      <color rgb="FF000000"/>
      <name val="zurich bt"/>
    </font>
    <font>
      <b/>
      <sz val="18"/>
      <color rgb="FF000000"/>
      <name val="zurich bt"/>
    </font>
    <font>
      <b/>
      <sz val="12"/>
      <color rgb="FF000000"/>
      <name val="zurich bt"/>
    </font>
    <font>
      <sz val="12"/>
      <color rgb="FF000000"/>
      <name val="zurich bt"/>
    </font>
    <font>
      <b/>
      <sz val="15"/>
      <color rgb="FF000000"/>
      <name val="zurich bt"/>
    </font>
    <font>
      <b/>
      <sz val="6"/>
      <name val="Arial MT"/>
    </font>
    <font>
      <b/>
      <sz val="6"/>
      <color rgb="FF333333"/>
      <name val="Arial MT"/>
    </font>
    <font>
      <sz val="7"/>
      <name val="Times New Roman"/>
      <family val="1"/>
    </font>
    <font>
      <b/>
      <sz val="12"/>
      <color theme="0" tint="-4.9989318521683403E-2"/>
      <name val="Arial"/>
      <family val="2"/>
    </font>
    <font>
      <sz val="12"/>
      <color theme="0" tint="-4.9989318521683403E-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FE6E4"/>
      </patternFill>
    </fill>
    <fill>
      <patternFill patternType="solid">
        <fgColor rgb="FF993366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0" fillId="0" borderId="3" xfId="0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1" fontId="2" fillId="3" borderId="2" xfId="0" applyNumberFormat="1" applyFont="1" applyFill="1" applyBorder="1" applyAlignment="1">
      <alignment horizontal="left" vertical="top" indent="1" shrinkToFit="1"/>
    </xf>
    <xf numFmtId="0" fontId="0" fillId="0" borderId="3" xfId="0" applyBorder="1" applyAlignment="1">
      <alignment horizontal="left" wrapText="1"/>
    </xf>
    <xf numFmtId="1" fontId="2" fillId="3" borderId="3" xfId="0" applyNumberFormat="1" applyFont="1" applyFill="1" applyBorder="1" applyAlignment="1">
      <alignment horizontal="left" vertical="top" indent="1" shrinkToFit="1"/>
    </xf>
    <xf numFmtId="0" fontId="1" fillId="3" borderId="3" xfId="0" applyFont="1" applyFill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2" fontId="7" fillId="0" borderId="3" xfId="0" applyNumberFormat="1" applyFont="1" applyBorder="1" applyAlignment="1">
      <alignment horizontal="left" vertical="top"/>
    </xf>
    <xf numFmtId="9" fontId="0" fillId="0" borderId="3" xfId="0" applyNumberFormat="1" applyBorder="1" applyAlignment="1">
      <alignment horizontal="left" vertical="top"/>
    </xf>
    <xf numFmtId="0" fontId="0" fillId="0" borderId="3" xfId="0" applyBorder="1"/>
    <xf numFmtId="2" fontId="0" fillId="0" borderId="3" xfId="0" applyNumberFormat="1" applyBorder="1"/>
    <xf numFmtId="2" fontId="0" fillId="0" borderId="0" xfId="0" applyNumberFormat="1" applyAlignment="1">
      <alignment horizontal="left" vertical="top"/>
    </xf>
    <xf numFmtId="2" fontId="0" fillId="0" borderId="3" xfId="0" applyNumberFormat="1" applyBorder="1" applyAlignment="1">
      <alignment horizontal="left" vertical="top"/>
    </xf>
    <xf numFmtId="2" fontId="5" fillId="0" borderId="3" xfId="0" applyNumberFormat="1" applyFont="1" applyBorder="1" applyAlignment="1">
      <alignment horizontal="left" vertical="top"/>
    </xf>
    <xf numFmtId="2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center" shrinkToFit="1"/>
    </xf>
    <xf numFmtId="0" fontId="10" fillId="0" borderId="3" xfId="0" applyFont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top" shrinkToFit="1"/>
    </xf>
    <xf numFmtId="0" fontId="10" fillId="0" borderId="1" xfId="0" applyFont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shrinkToFit="1"/>
    </xf>
    <xf numFmtId="0" fontId="12" fillId="0" borderId="0" xfId="0" applyFont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16" fillId="0" borderId="5" xfId="0" applyFont="1" applyBorder="1" applyAlignment="1">
      <alignment horizontal="left" vertical="top"/>
    </xf>
    <xf numFmtId="2" fontId="17" fillId="0" borderId="1" xfId="0" applyNumberFormat="1" applyFont="1" applyBorder="1" applyAlignment="1">
      <alignment horizontal="right" vertical="top" shrinkToFit="1"/>
    </xf>
    <xf numFmtId="2" fontId="16" fillId="0" borderId="5" xfId="0" applyNumberFormat="1" applyFont="1" applyBorder="1" applyAlignment="1">
      <alignment horizontal="left" vertical="top"/>
    </xf>
    <xf numFmtId="2" fontId="17" fillId="0" borderId="3" xfId="0" applyNumberFormat="1" applyFont="1" applyBorder="1" applyAlignment="1">
      <alignment horizontal="right" vertical="top" shrinkToFit="1"/>
    </xf>
    <xf numFmtId="164" fontId="17" fillId="0" borderId="3" xfId="0" applyNumberFormat="1" applyFont="1" applyBorder="1" applyAlignment="1">
      <alignment horizontal="right" vertical="top" shrinkToFit="1"/>
    </xf>
    <xf numFmtId="2" fontId="1" fillId="0" borderId="1" xfId="0" applyNumberFormat="1" applyFont="1" applyBorder="1" applyAlignment="1">
      <alignment horizontal="right" vertical="top" shrinkToFit="1"/>
    </xf>
    <xf numFmtId="0" fontId="8" fillId="0" borderId="3" xfId="0" applyFont="1" applyBorder="1" applyAlignment="1">
      <alignment wrapText="1"/>
    </xf>
    <xf numFmtId="0" fontId="6" fillId="0" borderId="3" xfId="0" applyFont="1" applyBorder="1" applyAlignment="1">
      <alignment horizontal="left" vertical="top" wrapText="1"/>
    </xf>
    <xf numFmtId="2" fontId="19" fillId="0" borderId="1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right" vertical="top" shrinkToFit="1"/>
    </xf>
    <xf numFmtId="2" fontId="0" fillId="0" borderId="3" xfId="0" applyNumberFormat="1" applyBorder="1" applyAlignment="1">
      <alignment horizontal="left" wrapText="1"/>
    </xf>
    <xf numFmtId="0" fontId="23" fillId="6" borderId="3" xfId="0" applyFont="1" applyFill="1" applyBorder="1" applyAlignment="1">
      <alignment horizontal="center"/>
    </xf>
    <xf numFmtId="0" fontId="22" fillId="5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right" vertical="center"/>
    </xf>
    <xf numFmtId="1" fontId="22" fillId="5" borderId="3" xfId="0" applyNumberFormat="1" applyFont="1" applyFill="1" applyBorder="1" applyAlignment="1">
      <alignment vertical="center"/>
    </xf>
    <xf numFmtId="0" fontId="21" fillId="7" borderId="3" xfId="0" applyFont="1" applyFill="1" applyBorder="1"/>
    <xf numFmtId="0" fontId="20" fillId="7" borderId="3" xfId="0" applyFont="1" applyFill="1" applyBorder="1"/>
    <xf numFmtId="1" fontId="20" fillId="7" borderId="3" xfId="0" applyNumberFormat="1" applyFont="1" applyFill="1" applyBorder="1"/>
    <xf numFmtId="10" fontId="0" fillId="0" borderId="0" xfId="0" applyNumberForma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2" fontId="1" fillId="0" borderId="3" xfId="0" applyNumberFormat="1" applyFont="1" applyBorder="1" applyAlignment="1">
      <alignment horizontal="right" vertical="top" shrinkToFit="1"/>
    </xf>
    <xf numFmtId="1" fontId="22" fillId="0" borderId="3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1" fontId="0" fillId="0" borderId="0" xfId="0" applyNumberFormat="1" applyAlignment="1">
      <alignment horizontal="left" vertical="top"/>
    </xf>
    <xf numFmtId="2" fontId="15" fillId="0" borderId="3" xfId="0" applyNumberFormat="1" applyFont="1" applyBorder="1" applyAlignment="1">
      <alignment horizontal="left" vertical="top"/>
    </xf>
    <xf numFmtId="0" fontId="13" fillId="0" borderId="3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20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7" fillId="2" borderId="6" xfId="0" applyFont="1" applyFill="1" applyBorder="1" applyAlignment="1">
      <alignment horizontal="center" vertical="top" wrapText="1"/>
    </xf>
    <xf numFmtId="0" fontId="17" fillId="2" borderId="0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view="pageBreakPreview" zoomScaleNormal="100" zoomScaleSheetLayoutView="100" workbookViewId="0">
      <selection activeCell="C7" sqref="C7:C8"/>
    </sheetView>
  </sheetViews>
  <sheetFormatPr defaultRowHeight="13.2"/>
  <cols>
    <col min="1" max="1" width="6.88671875" style="31" bestFit="1" customWidth="1"/>
    <col min="2" max="2" width="29.33203125" style="31" customWidth="1"/>
    <col min="3" max="3" width="21.109375" style="31" customWidth="1"/>
    <col min="4" max="16384" width="8.88671875" style="31"/>
  </cols>
  <sheetData>
    <row r="1" spans="1:3">
      <c r="A1" s="63" t="s">
        <v>108</v>
      </c>
      <c r="B1" s="63"/>
      <c r="C1" s="63"/>
    </row>
    <row r="2" spans="1:3">
      <c r="A2" s="63"/>
      <c r="B2" s="63"/>
      <c r="C2" s="63"/>
    </row>
    <row r="3" spans="1:3">
      <c r="A3" s="64"/>
      <c r="B3" s="64"/>
      <c r="C3" s="64"/>
    </row>
    <row r="4" spans="1:3">
      <c r="A4" s="64"/>
      <c r="B4" s="64"/>
      <c r="C4" s="64"/>
    </row>
    <row r="5" spans="1:3" ht="22.8">
      <c r="A5" s="62" t="s">
        <v>161</v>
      </c>
      <c r="B5" s="62"/>
      <c r="C5" s="62"/>
    </row>
    <row r="6" spans="1:3" ht="15.6">
      <c r="A6" s="32" t="s">
        <v>80</v>
      </c>
      <c r="B6" s="32" t="s">
        <v>79</v>
      </c>
      <c r="C6" s="32" t="s">
        <v>171</v>
      </c>
    </row>
    <row r="7" spans="1:3" ht="15">
      <c r="A7" s="33">
        <v>1</v>
      </c>
      <c r="B7" s="33" t="s">
        <v>139</v>
      </c>
      <c r="C7" s="61">
        <f>'Machinery Chart'!F12/10^5</f>
        <v>251.59117499999999</v>
      </c>
    </row>
    <row r="8" spans="1:3" ht="15">
      <c r="A8" s="33">
        <v>2</v>
      </c>
      <c r="B8" s="33" t="s">
        <v>170</v>
      </c>
      <c r="C8" s="61">
        <f>'Machinery Chart'!F22/10^5</f>
        <v>158.23895999999999</v>
      </c>
    </row>
    <row r="9" spans="1:3" ht="15">
      <c r="A9" s="33">
        <v>3</v>
      </c>
      <c r="B9" s="33" t="s">
        <v>135</v>
      </c>
      <c r="C9" s="33">
        <v>75</v>
      </c>
    </row>
    <row r="10" spans="1:3" ht="19.2">
      <c r="B10" s="34" t="s">
        <v>78</v>
      </c>
      <c r="C10" s="36">
        <f>SUM(C7:C9)</f>
        <v>484.83013499999998</v>
      </c>
    </row>
  </sheetData>
  <mergeCells count="3">
    <mergeCell ref="A5:C5"/>
    <mergeCell ref="A1:C2"/>
    <mergeCell ref="A3:C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150" fitToWidth="0" orientation="landscape" r:id="rId1"/>
  <colBreaks count="1" manualBreakCount="1">
    <brk id="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view="pageBreakPreview" zoomScale="60" zoomScaleNormal="100" workbookViewId="0">
      <selection activeCell="F22" activeCellId="1" sqref="F12 F22"/>
    </sheetView>
  </sheetViews>
  <sheetFormatPr defaultRowHeight="13.2"/>
  <cols>
    <col min="1" max="1" width="9.33203125" bestFit="1" customWidth="1"/>
    <col min="2" max="2" width="50.33203125" bestFit="1" customWidth="1"/>
    <col min="3" max="3" width="31" bestFit="1" customWidth="1"/>
    <col min="4" max="4" width="5.88671875" bestFit="1" customWidth="1"/>
    <col min="5" max="5" width="10.33203125" bestFit="1" customWidth="1"/>
    <col min="6" max="6" width="12" bestFit="1" customWidth="1"/>
  </cols>
  <sheetData>
    <row r="1" spans="1:9" ht="15.6">
      <c r="A1" s="65" t="s">
        <v>194</v>
      </c>
      <c r="B1" s="65"/>
      <c r="C1" s="65"/>
      <c r="D1" s="65"/>
      <c r="E1" s="65"/>
      <c r="F1" s="65"/>
    </row>
    <row r="2" spans="1:9" ht="15.6">
      <c r="A2" s="45" t="s">
        <v>122</v>
      </c>
      <c r="B2" s="45" t="s">
        <v>123</v>
      </c>
      <c r="C2" s="45" t="s">
        <v>124</v>
      </c>
      <c r="D2" s="45" t="s">
        <v>125</v>
      </c>
      <c r="E2" s="45" t="s">
        <v>97</v>
      </c>
      <c r="F2" s="45" t="s">
        <v>78</v>
      </c>
    </row>
    <row r="3" spans="1:9" ht="15">
      <c r="A3" s="46">
        <v>1</v>
      </c>
      <c r="B3" s="47" t="s">
        <v>163</v>
      </c>
      <c r="C3" s="47" t="s">
        <v>164</v>
      </c>
      <c r="D3" s="46">
        <v>23</v>
      </c>
      <c r="E3" s="48">
        <v>269100</v>
      </c>
      <c r="F3" s="57">
        <f>E3*92</f>
        <v>24757200</v>
      </c>
    </row>
    <row r="4" spans="1:9" ht="15">
      <c r="A4" s="46">
        <v>2</v>
      </c>
      <c r="B4" s="47" t="s">
        <v>169</v>
      </c>
      <c r="C4" s="47"/>
      <c r="D4" s="46"/>
      <c r="E4" s="48"/>
      <c r="F4" s="57">
        <v>5254456</v>
      </c>
    </row>
    <row r="5" spans="1:9" ht="15">
      <c r="A5" s="46">
        <v>3</v>
      </c>
      <c r="B5" s="47" t="s">
        <v>168</v>
      </c>
      <c r="C5" s="47"/>
      <c r="D5" s="46"/>
      <c r="E5" s="48"/>
      <c r="F5" s="57">
        <v>744289</v>
      </c>
    </row>
    <row r="6" spans="1:9" ht="15">
      <c r="A6" s="46">
        <v>4</v>
      </c>
      <c r="B6" s="47" t="s">
        <v>167</v>
      </c>
      <c r="C6" s="47"/>
      <c r="D6" s="46"/>
      <c r="E6" s="48"/>
      <c r="F6" s="57">
        <v>212400</v>
      </c>
    </row>
    <row r="7" spans="1:9" ht="15">
      <c r="A7" s="46">
        <v>5</v>
      </c>
      <c r="B7" s="47" t="s">
        <v>166</v>
      </c>
      <c r="C7" s="47"/>
      <c r="D7" s="46"/>
      <c r="E7" s="48"/>
      <c r="F7" s="57">
        <v>1536360</v>
      </c>
    </row>
    <row r="8" spans="1:9" ht="15">
      <c r="A8" s="46">
        <v>6</v>
      </c>
      <c r="B8" s="47" t="s">
        <v>165</v>
      </c>
      <c r="C8" s="47"/>
      <c r="D8" s="46"/>
      <c r="E8" s="48"/>
      <c r="F8" s="57">
        <v>838980</v>
      </c>
    </row>
    <row r="9" spans="1:9" ht="15">
      <c r="A9" s="46">
        <v>7</v>
      </c>
      <c r="B9" s="47" t="s">
        <v>162</v>
      </c>
      <c r="C9" s="47"/>
      <c r="D9" s="46"/>
      <c r="E9" s="48"/>
      <c r="F9" s="57">
        <v>201805</v>
      </c>
    </row>
    <row r="10" spans="1:9" ht="15">
      <c r="A10" s="46"/>
      <c r="B10" s="47"/>
      <c r="C10" s="47"/>
      <c r="D10" s="46"/>
      <c r="E10" s="48"/>
      <c r="F10" s="49"/>
    </row>
    <row r="11" spans="1:9" ht="15.6">
      <c r="A11" s="50"/>
      <c r="B11" s="50"/>
      <c r="C11" s="51" t="s">
        <v>78</v>
      </c>
      <c r="D11" s="51"/>
      <c r="E11" s="51">
        <f>SUM(E3:E10)</f>
        <v>269100</v>
      </c>
      <c r="F11" s="52">
        <f>SUM(F3:F10)</f>
        <v>33545490</v>
      </c>
    </row>
    <row r="12" spans="1:9" ht="15.6">
      <c r="C12" s="45" t="s">
        <v>138</v>
      </c>
      <c r="E12" s="22">
        <f>F12/F11%</f>
        <v>75</v>
      </c>
      <c r="F12" s="45">
        <f>F11*75%</f>
        <v>25159117.5</v>
      </c>
      <c r="I12" s="53"/>
    </row>
    <row r="13" spans="1:9" ht="15.6">
      <c r="C13" s="45" t="s">
        <v>126</v>
      </c>
      <c r="E13" s="22">
        <f>F13/F11%</f>
        <v>25</v>
      </c>
      <c r="F13" s="45">
        <f>F11-F12</f>
        <v>8386372.5</v>
      </c>
      <c r="I13" s="53"/>
    </row>
    <row r="14" spans="1:9">
      <c r="A14" s="4" t="s">
        <v>127</v>
      </c>
      <c r="B14" s="4" t="s">
        <v>196</v>
      </c>
    </row>
    <row r="15" spans="1:9">
      <c r="A15" s="4"/>
      <c r="B15" s="4"/>
    </row>
    <row r="16" spans="1:9" ht="15.6">
      <c r="A16" s="65" t="s">
        <v>195</v>
      </c>
      <c r="B16" s="65"/>
      <c r="C16" s="65"/>
      <c r="D16" s="65"/>
      <c r="E16" s="65"/>
      <c r="F16" s="65"/>
      <c r="I16" s="60"/>
    </row>
    <row r="17" spans="1:6" ht="15.6">
      <c r="A17" s="45" t="s">
        <v>122</v>
      </c>
      <c r="B17" s="45" t="s">
        <v>123</v>
      </c>
      <c r="C17" s="45" t="s">
        <v>124</v>
      </c>
      <c r="D17" s="45" t="s">
        <v>125</v>
      </c>
      <c r="E17" s="45" t="s">
        <v>97</v>
      </c>
      <c r="F17" s="45" t="s">
        <v>78</v>
      </c>
    </row>
    <row r="18" spans="1:6" ht="15">
      <c r="A18" s="46">
        <v>1</v>
      </c>
      <c r="B18" s="47" t="s">
        <v>163</v>
      </c>
      <c r="C18" s="47" t="s">
        <v>164</v>
      </c>
      <c r="D18" s="46">
        <v>16</v>
      </c>
      <c r="E18" s="48">
        <v>187200</v>
      </c>
      <c r="F18" s="57">
        <f>E18*92</f>
        <v>17222400</v>
      </c>
    </row>
    <row r="19" spans="1:6" ht="15">
      <c r="A19" s="46">
        <v>2</v>
      </c>
      <c r="B19" s="47" t="s">
        <v>169</v>
      </c>
      <c r="C19" s="47"/>
      <c r="D19" s="46"/>
      <c r="E19" s="48"/>
      <c r="F19" s="57">
        <v>3876128</v>
      </c>
    </row>
    <row r="20" spans="1:6" ht="15">
      <c r="A20" s="46"/>
      <c r="B20" s="47"/>
      <c r="C20" s="47"/>
      <c r="D20" s="46"/>
      <c r="E20" s="48"/>
      <c r="F20" s="49"/>
    </row>
    <row r="21" spans="1:6" ht="15.6">
      <c r="A21" s="50"/>
      <c r="B21" s="50"/>
      <c r="C21" s="51" t="s">
        <v>78</v>
      </c>
      <c r="D21" s="51"/>
      <c r="E21" s="51">
        <f>SUM(E18:E20)</f>
        <v>187200</v>
      </c>
      <c r="F21" s="52">
        <f>SUM(F18:F20)</f>
        <v>21098528</v>
      </c>
    </row>
    <row r="22" spans="1:6" ht="15.6">
      <c r="C22" s="45" t="s">
        <v>138</v>
      </c>
      <c r="E22" s="22">
        <f>F22/F21%</f>
        <v>75</v>
      </c>
      <c r="F22" s="45">
        <f>F21*75%</f>
        <v>15823896</v>
      </c>
    </row>
    <row r="23" spans="1:6" ht="15.6">
      <c r="C23" s="45" t="s">
        <v>126</v>
      </c>
      <c r="E23" s="22">
        <f>F23/F21%</f>
        <v>25</v>
      </c>
      <c r="F23" s="45">
        <f>F21-F22</f>
        <v>5274632</v>
      </c>
    </row>
    <row r="24" spans="1:6">
      <c r="A24" s="4"/>
      <c r="B24" s="4"/>
    </row>
    <row r="25" spans="1:6">
      <c r="A25" s="4" t="s">
        <v>127</v>
      </c>
      <c r="B25" s="4" t="s">
        <v>196</v>
      </c>
    </row>
  </sheetData>
  <mergeCells count="2">
    <mergeCell ref="A1:F1"/>
    <mergeCell ref="A16:F1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5" sqref="F5"/>
    </sheetView>
  </sheetViews>
  <sheetFormatPr defaultRowHeight="13.2"/>
  <cols>
    <col min="1" max="1" width="5.44140625" bestFit="1" customWidth="1"/>
    <col min="2" max="2" width="16.6640625" customWidth="1"/>
    <col min="3" max="3" width="13.77734375" customWidth="1"/>
    <col min="4" max="4" width="5.44140625" bestFit="1" customWidth="1"/>
    <col min="5" max="5" width="25.44140625" customWidth="1"/>
    <col min="6" max="6" width="14.33203125" customWidth="1"/>
  </cols>
  <sheetData>
    <row r="1" spans="1:6">
      <c r="A1" s="66" t="s">
        <v>152</v>
      </c>
      <c r="B1" s="66"/>
      <c r="C1" s="66"/>
      <c r="D1" s="66" t="s">
        <v>153</v>
      </c>
      <c r="E1" s="66"/>
      <c r="F1" s="66"/>
    </row>
    <row r="2" spans="1:6">
      <c r="A2" s="5" t="s">
        <v>80</v>
      </c>
      <c r="B2" s="5" t="s">
        <v>79</v>
      </c>
      <c r="C2" s="5" t="s">
        <v>172</v>
      </c>
      <c r="D2" s="5" t="s">
        <v>80</v>
      </c>
      <c r="E2" s="5" t="s">
        <v>79</v>
      </c>
      <c r="F2" s="5" t="s">
        <v>172</v>
      </c>
    </row>
    <row r="3" spans="1:6">
      <c r="A3" s="5">
        <v>1</v>
      </c>
      <c r="B3" s="5" t="s">
        <v>154</v>
      </c>
      <c r="C3" s="23">
        <f>(+'Machinery Chart'!F11+'Machinery Chart'!F21)/10^5</f>
        <v>546.44018000000005</v>
      </c>
      <c r="D3" s="5">
        <v>1</v>
      </c>
      <c r="E3" s="5" t="s">
        <v>155</v>
      </c>
      <c r="F3" s="23">
        <f>+Proposal!C7</f>
        <v>251.59117499999999</v>
      </c>
    </row>
    <row r="4" spans="1:6">
      <c r="A4" s="5">
        <v>2</v>
      </c>
      <c r="B4" s="5" t="s">
        <v>159</v>
      </c>
      <c r="C4" s="23">
        <f>F9-C3</f>
        <v>113.38995499999987</v>
      </c>
      <c r="D4" s="5">
        <v>2</v>
      </c>
      <c r="E4" s="5" t="s">
        <v>156</v>
      </c>
      <c r="F4" s="23">
        <f>+Proposal!C8</f>
        <v>158.23895999999999</v>
      </c>
    </row>
    <row r="5" spans="1:6">
      <c r="A5" s="5"/>
      <c r="B5" s="5"/>
      <c r="C5" s="5"/>
      <c r="D5" s="5">
        <v>3</v>
      </c>
      <c r="E5" s="5" t="s">
        <v>157</v>
      </c>
      <c r="F5" s="5">
        <v>150</v>
      </c>
    </row>
    <row r="6" spans="1:6">
      <c r="A6" s="5"/>
      <c r="B6" s="5"/>
      <c r="C6" s="5"/>
      <c r="D6" s="5">
        <v>4</v>
      </c>
      <c r="E6" s="5" t="s">
        <v>158</v>
      </c>
      <c r="F6" s="5">
        <v>25</v>
      </c>
    </row>
    <row r="7" spans="1:6">
      <c r="A7" s="5"/>
      <c r="B7" s="5"/>
      <c r="C7" s="5"/>
      <c r="D7" s="5">
        <v>5</v>
      </c>
      <c r="E7" s="5" t="s">
        <v>160</v>
      </c>
      <c r="F7" s="5">
        <v>75</v>
      </c>
    </row>
    <row r="8" spans="1:6">
      <c r="A8" s="5"/>
      <c r="B8" s="5"/>
      <c r="C8" s="5"/>
      <c r="D8" s="5"/>
      <c r="E8" s="5"/>
      <c r="F8" s="5"/>
    </row>
    <row r="9" spans="1:6">
      <c r="A9" s="5"/>
      <c r="B9" s="5"/>
      <c r="C9" s="6">
        <f>SUM(C3:C8)</f>
        <v>659.83013499999993</v>
      </c>
      <c r="D9" s="5"/>
      <c r="E9" s="5"/>
      <c r="F9" s="6">
        <f>SUM(F3:F8)</f>
        <v>659.83013499999993</v>
      </c>
    </row>
  </sheetData>
  <mergeCells count="2">
    <mergeCell ref="A1:C1"/>
    <mergeCell ref="D1:F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2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tabSelected="1" view="pageBreakPreview" zoomScale="130" zoomScaleNormal="130" zoomScaleSheetLayoutView="130" workbookViewId="0">
      <selection activeCell="B3" sqref="B3"/>
    </sheetView>
  </sheetViews>
  <sheetFormatPr defaultRowHeight="13.2"/>
  <cols>
    <col min="1" max="1" width="24.77734375" bestFit="1" customWidth="1"/>
    <col min="2" max="2" width="5.77734375" customWidth="1"/>
    <col min="3" max="4" width="5.88671875" bestFit="1" customWidth="1"/>
    <col min="5" max="6" width="5.77734375" bestFit="1" customWidth="1"/>
    <col min="7" max="9" width="5.77734375" customWidth="1"/>
  </cols>
  <sheetData>
    <row r="1" spans="1:9" ht="13.2" customHeight="1">
      <c r="A1" s="70" t="s">
        <v>115</v>
      </c>
      <c r="B1" s="71"/>
      <c r="C1" s="71"/>
      <c r="D1" s="71"/>
      <c r="E1" s="71"/>
      <c r="F1" s="71"/>
      <c r="G1" s="71"/>
      <c r="H1" s="71"/>
      <c r="I1" s="71"/>
    </row>
    <row r="2" spans="1:9" ht="8.5500000000000007" customHeight="1">
      <c r="A2" s="67" t="s">
        <v>0</v>
      </c>
      <c r="B2" s="8">
        <v>2027</v>
      </c>
      <c r="C2" s="8">
        <v>2028</v>
      </c>
      <c r="D2" s="8">
        <v>2029</v>
      </c>
      <c r="E2" s="8">
        <v>2030</v>
      </c>
      <c r="F2" s="8">
        <v>2031</v>
      </c>
      <c r="G2" s="8">
        <v>2032</v>
      </c>
      <c r="H2" s="8">
        <v>2033</v>
      </c>
      <c r="I2" s="8">
        <v>2034</v>
      </c>
    </row>
    <row r="3" spans="1:9" ht="8.25" customHeight="1">
      <c r="A3" s="68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</row>
    <row r="4" spans="1:9" ht="8.25" customHeight="1">
      <c r="A4" s="1" t="s">
        <v>2</v>
      </c>
      <c r="B4" s="2"/>
      <c r="C4" s="2"/>
      <c r="D4" s="2"/>
      <c r="E4" s="2"/>
      <c r="F4" s="2"/>
      <c r="G4" s="2"/>
      <c r="H4" s="2"/>
      <c r="I4" s="2"/>
    </row>
    <row r="5" spans="1:9" ht="8.5500000000000007" customHeight="1">
      <c r="A5" s="1" t="s">
        <v>3</v>
      </c>
      <c r="B5" s="28"/>
      <c r="C5" s="28"/>
      <c r="D5" s="28"/>
      <c r="E5" s="28"/>
      <c r="F5" s="28"/>
      <c r="G5" s="28"/>
      <c r="H5" s="28"/>
      <c r="I5" s="28"/>
    </row>
    <row r="6" spans="1:9" ht="8.5500000000000007" customHeight="1">
      <c r="A6" s="1" t="s">
        <v>4</v>
      </c>
      <c r="B6" s="28"/>
      <c r="C6" s="28"/>
      <c r="D6" s="28"/>
      <c r="E6" s="28"/>
      <c r="F6" s="28"/>
      <c r="G6" s="28"/>
      <c r="H6" s="28"/>
      <c r="I6" s="28"/>
    </row>
    <row r="7" spans="1:9" ht="8.5500000000000007" customHeight="1">
      <c r="A7" s="54" t="s">
        <v>131</v>
      </c>
      <c r="B7" s="28">
        <f>'Production Chart'!B25</f>
        <v>565.29199999999992</v>
      </c>
      <c r="C7" s="28">
        <f>'Production Chart'!C25</f>
        <v>1076.131875</v>
      </c>
      <c r="D7" s="28">
        <f>'Production Chart'!D25</f>
        <v>1160.9324999999999</v>
      </c>
      <c r="E7" s="28">
        <f>'Production Chart'!E25</f>
        <v>1195.569375</v>
      </c>
      <c r="F7" s="28">
        <f>'Production Chart'!F25</f>
        <v>1230.684</v>
      </c>
      <c r="G7" s="28">
        <f>'Production Chart'!G25</f>
        <v>1266.2763749999999</v>
      </c>
      <c r="H7" s="28">
        <f>'Production Chart'!H25</f>
        <v>1302.3465000000001</v>
      </c>
      <c r="I7" s="28">
        <f>'Production Chart'!I25</f>
        <v>1338.8943749999999</v>
      </c>
    </row>
    <row r="8" spans="1:9" ht="8.5500000000000007" customHeight="1">
      <c r="A8" s="1" t="s">
        <v>5</v>
      </c>
      <c r="B8" s="28"/>
      <c r="C8" s="28"/>
      <c r="D8" s="28"/>
      <c r="E8" s="28"/>
      <c r="F8" s="28"/>
      <c r="G8" s="28"/>
      <c r="H8" s="28"/>
      <c r="I8" s="28"/>
    </row>
    <row r="9" spans="1:9" ht="8.25" customHeight="1">
      <c r="A9" s="1" t="s">
        <v>6</v>
      </c>
      <c r="B9" s="35">
        <f t="shared" ref="B9:F9" si="0">SUM(B5:B8)</f>
        <v>565.29199999999992</v>
      </c>
      <c r="C9" s="35">
        <f t="shared" si="0"/>
        <v>1076.131875</v>
      </c>
      <c r="D9" s="35">
        <f t="shared" si="0"/>
        <v>1160.9324999999999</v>
      </c>
      <c r="E9" s="35">
        <f t="shared" si="0"/>
        <v>1195.569375</v>
      </c>
      <c r="F9" s="35">
        <f t="shared" si="0"/>
        <v>1230.684</v>
      </c>
      <c r="G9" s="35">
        <f t="shared" ref="G9:I9" si="1">SUM(G5:G8)</f>
        <v>1266.2763749999999</v>
      </c>
      <c r="H9" s="35">
        <f t="shared" si="1"/>
        <v>1302.3465000000001</v>
      </c>
      <c r="I9" s="35">
        <f t="shared" si="1"/>
        <v>1338.8943749999999</v>
      </c>
    </row>
    <row r="10" spans="1:9" ht="8.25" customHeight="1">
      <c r="A10" s="1" t="s">
        <v>9</v>
      </c>
      <c r="B10" s="28"/>
      <c r="C10" s="28"/>
      <c r="D10" s="28"/>
      <c r="E10" s="28"/>
      <c r="F10" s="28"/>
      <c r="G10" s="28"/>
      <c r="H10" s="28"/>
      <c r="I10" s="28"/>
    </row>
    <row r="11" spans="1:9" ht="8.5500000000000007" customHeight="1">
      <c r="A11" s="1" t="s">
        <v>7</v>
      </c>
      <c r="B11" s="28"/>
      <c r="C11" s="28"/>
      <c r="D11" s="28"/>
      <c r="E11" s="28"/>
      <c r="F11" s="28"/>
      <c r="G11" s="28"/>
      <c r="H11" s="28"/>
      <c r="I11" s="28"/>
    </row>
    <row r="12" spans="1:9" ht="8.5500000000000007" customHeight="1">
      <c r="A12" s="1" t="s">
        <v>10</v>
      </c>
      <c r="B12" s="28"/>
      <c r="C12" s="28"/>
      <c r="D12" s="28"/>
      <c r="E12" s="28"/>
      <c r="F12" s="28"/>
      <c r="G12" s="28"/>
      <c r="H12" s="28"/>
      <c r="I12" s="28"/>
    </row>
    <row r="13" spans="1:9" ht="8.25" customHeight="1">
      <c r="A13" s="1" t="s">
        <v>8</v>
      </c>
      <c r="B13" s="39"/>
      <c r="C13" s="39">
        <f t="shared" ref="C13:F13" si="2">C11+C12</f>
        <v>0</v>
      </c>
      <c r="D13" s="39">
        <f t="shared" si="2"/>
        <v>0</v>
      </c>
      <c r="E13" s="39">
        <f t="shared" si="2"/>
        <v>0</v>
      </c>
      <c r="F13" s="39">
        <f t="shared" si="2"/>
        <v>0</v>
      </c>
      <c r="G13" s="39">
        <f t="shared" ref="G13:I13" si="3">G11+G12</f>
        <v>0</v>
      </c>
      <c r="H13" s="39">
        <f t="shared" si="3"/>
        <v>0</v>
      </c>
      <c r="I13" s="39">
        <f t="shared" si="3"/>
        <v>0</v>
      </c>
    </row>
    <row r="14" spans="1:9" ht="8.25" customHeight="1">
      <c r="A14" s="1" t="s">
        <v>11</v>
      </c>
      <c r="B14" s="35">
        <f t="shared" ref="B14:F14" si="4">B9+B13</f>
        <v>565.29199999999992</v>
      </c>
      <c r="C14" s="35">
        <f t="shared" si="4"/>
        <v>1076.131875</v>
      </c>
      <c r="D14" s="35">
        <f t="shared" si="4"/>
        <v>1160.9324999999999</v>
      </c>
      <c r="E14" s="35">
        <f t="shared" si="4"/>
        <v>1195.569375</v>
      </c>
      <c r="F14" s="35">
        <f t="shared" si="4"/>
        <v>1230.684</v>
      </c>
      <c r="G14" s="35">
        <f t="shared" ref="G14:I14" si="5">G9+G13</f>
        <v>1266.2763749999999</v>
      </c>
      <c r="H14" s="35">
        <f t="shared" si="5"/>
        <v>1302.3465000000001</v>
      </c>
      <c r="I14" s="35">
        <f t="shared" si="5"/>
        <v>1338.8943749999999</v>
      </c>
    </row>
    <row r="15" spans="1:9" ht="7.8" customHeight="1">
      <c r="A15" s="2"/>
      <c r="B15" s="42"/>
      <c r="C15" s="42"/>
      <c r="D15" s="42"/>
      <c r="E15" s="42"/>
      <c r="F15" s="42"/>
      <c r="G15" s="42"/>
      <c r="H15" s="42"/>
      <c r="I15" s="42"/>
    </row>
    <row r="16" spans="1:9" ht="8.25" customHeight="1">
      <c r="A16" s="1" t="s">
        <v>12</v>
      </c>
      <c r="B16" s="35">
        <f t="shared" ref="B16" si="6">B17+B18+B19-B20</f>
        <v>393.5394399999999</v>
      </c>
      <c r="C16" s="35">
        <f t="shared" ref="C16:F16" si="7">C17+C18+C19-C20</f>
        <v>861.66681875000006</v>
      </c>
      <c r="D16" s="35">
        <f t="shared" si="7"/>
        <v>930.35532499999999</v>
      </c>
      <c r="E16" s="35">
        <f t="shared" si="7"/>
        <v>958.41119375000017</v>
      </c>
      <c r="F16" s="35">
        <f t="shared" si="7"/>
        <v>986.85404000000017</v>
      </c>
      <c r="G16" s="35">
        <f t="shared" ref="G16:I16" si="8">G17+G18+G19-G20</f>
        <v>1015.68386375</v>
      </c>
      <c r="H16" s="35">
        <f t="shared" si="8"/>
        <v>1044.9006650000001</v>
      </c>
      <c r="I16" s="35">
        <f t="shared" si="8"/>
        <v>1074.5044437500001</v>
      </c>
    </row>
    <row r="17" spans="1:9" ht="8.25" customHeight="1">
      <c r="A17" s="1" t="s">
        <v>13</v>
      </c>
      <c r="B17" s="28">
        <v>0</v>
      </c>
      <c r="C17" s="28">
        <f t="shared" ref="C17" si="9">B20</f>
        <v>70</v>
      </c>
      <c r="D17" s="28">
        <f t="shared" ref="D17" si="10">C20</f>
        <v>80</v>
      </c>
      <c r="E17" s="28">
        <f t="shared" ref="E17:F17" si="11">D20</f>
        <v>90</v>
      </c>
      <c r="F17" s="28">
        <f t="shared" si="11"/>
        <v>100</v>
      </c>
      <c r="G17" s="28">
        <f t="shared" ref="G17" si="12">F20</f>
        <v>110</v>
      </c>
      <c r="H17" s="28">
        <f t="shared" ref="H17" si="13">G20</f>
        <v>120</v>
      </c>
      <c r="I17" s="28">
        <f t="shared" ref="I17" si="14">H20</f>
        <v>130</v>
      </c>
    </row>
    <row r="18" spans="1:9" ht="8.5500000000000007" customHeight="1">
      <c r="A18" s="1" t="s">
        <v>14</v>
      </c>
      <c r="B18" s="28"/>
      <c r="C18" s="28"/>
      <c r="D18" s="28"/>
      <c r="E18" s="28"/>
      <c r="F18" s="28"/>
      <c r="G18" s="28"/>
      <c r="H18" s="28"/>
      <c r="I18" s="28"/>
    </row>
    <row r="19" spans="1:9" ht="8.5500000000000007" customHeight="1">
      <c r="A19" s="54" t="s">
        <v>134</v>
      </c>
      <c r="B19" s="28">
        <f>B7*82%</f>
        <v>463.5394399999999</v>
      </c>
      <c r="C19" s="28">
        <f>C7*81%</f>
        <v>871.66681875000006</v>
      </c>
      <c r="D19" s="28">
        <f t="shared" ref="D19:I19" si="15">D7*81%</f>
        <v>940.35532499999999</v>
      </c>
      <c r="E19" s="28">
        <f t="shared" si="15"/>
        <v>968.41119375000005</v>
      </c>
      <c r="F19" s="28">
        <f t="shared" si="15"/>
        <v>996.85404000000005</v>
      </c>
      <c r="G19" s="28">
        <f t="shared" si="15"/>
        <v>1025.68386375</v>
      </c>
      <c r="H19" s="28">
        <f t="shared" si="15"/>
        <v>1054.9006650000001</v>
      </c>
      <c r="I19" s="28">
        <f t="shared" si="15"/>
        <v>1084.5044437500001</v>
      </c>
    </row>
    <row r="20" spans="1:9" ht="8.25" customHeight="1">
      <c r="A20" s="1" t="s">
        <v>15</v>
      </c>
      <c r="B20" s="28">
        <v>70</v>
      </c>
      <c r="C20" s="28">
        <v>80</v>
      </c>
      <c r="D20" s="28">
        <v>90</v>
      </c>
      <c r="E20" s="28">
        <v>100</v>
      </c>
      <c r="F20" s="28">
        <v>110</v>
      </c>
      <c r="G20" s="28">
        <v>120</v>
      </c>
      <c r="H20" s="28">
        <v>130</v>
      </c>
      <c r="I20" s="28">
        <v>140</v>
      </c>
    </row>
    <row r="21" spans="1:9" ht="7.8" customHeight="1">
      <c r="A21" s="2"/>
      <c r="B21" s="29"/>
      <c r="C21" s="29"/>
      <c r="D21" s="29"/>
      <c r="E21" s="29"/>
      <c r="F21" s="29"/>
      <c r="G21" s="29"/>
      <c r="H21" s="29"/>
      <c r="I21" s="29"/>
    </row>
    <row r="22" spans="1:9" ht="8.25" customHeight="1">
      <c r="A22" s="1" t="s">
        <v>16</v>
      </c>
      <c r="B22" s="35">
        <f t="shared" ref="B22:F22" si="16">SUM(B23:B28)</f>
        <v>44</v>
      </c>
      <c r="C22" s="35">
        <f t="shared" si="16"/>
        <v>75</v>
      </c>
      <c r="D22" s="35">
        <f t="shared" si="16"/>
        <v>80</v>
      </c>
      <c r="E22" s="35">
        <f t="shared" si="16"/>
        <v>85</v>
      </c>
      <c r="F22" s="35">
        <f t="shared" si="16"/>
        <v>90</v>
      </c>
      <c r="G22" s="35">
        <f t="shared" ref="G22:I22" si="17">SUM(G23:G28)</f>
        <v>95</v>
      </c>
      <c r="H22" s="35">
        <f t="shared" si="17"/>
        <v>100</v>
      </c>
      <c r="I22" s="35">
        <f t="shared" si="17"/>
        <v>105</v>
      </c>
    </row>
    <row r="23" spans="1:9" ht="8.25" customHeight="1">
      <c r="A23" s="1" t="s">
        <v>17</v>
      </c>
      <c r="B23" s="28">
        <v>24</v>
      </c>
      <c r="C23" s="28">
        <v>42.5</v>
      </c>
      <c r="D23" s="28">
        <v>45</v>
      </c>
      <c r="E23" s="28">
        <v>47.5</v>
      </c>
      <c r="F23" s="28">
        <v>50</v>
      </c>
      <c r="G23" s="28">
        <v>52.5</v>
      </c>
      <c r="H23" s="28">
        <v>55</v>
      </c>
      <c r="I23" s="28">
        <v>57.5</v>
      </c>
    </row>
    <row r="24" spans="1:9" ht="8.25" customHeight="1">
      <c r="A24" s="1" t="s">
        <v>18</v>
      </c>
      <c r="B24" s="28"/>
      <c r="C24" s="28"/>
      <c r="D24" s="28"/>
      <c r="E24" s="28"/>
      <c r="F24" s="28"/>
      <c r="G24" s="28"/>
      <c r="H24" s="28"/>
      <c r="I24" s="28"/>
    </row>
    <row r="25" spans="1:9" ht="8.25" customHeight="1">
      <c r="A25" s="1" t="s">
        <v>19</v>
      </c>
      <c r="B25" s="28">
        <v>20</v>
      </c>
      <c r="C25" s="28">
        <v>32.5</v>
      </c>
      <c r="D25" s="28">
        <v>35</v>
      </c>
      <c r="E25" s="28">
        <v>37.5</v>
      </c>
      <c r="F25" s="28">
        <v>40</v>
      </c>
      <c r="G25" s="28">
        <v>42.5</v>
      </c>
      <c r="H25" s="28">
        <v>45</v>
      </c>
      <c r="I25" s="28">
        <v>47.5</v>
      </c>
    </row>
    <row r="26" spans="1:9" ht="8.25" customHeight="1">
      <c r="A26" s="1" t="s">
        <v>20</v>
      </c>
      <c r="B26" s="28"/>
      <c r="C26" s="28"/>
      <c r="D26" s="28"/>
      <c r="E26" s="28"/>
      <c r="F26" s="28"/>
      <c r="G26" s="28"/>
      <c r="H26" s="28"/>
      <c r="I26" s="28"/>
    </row>
    <row r="27" spans="1:9" ht="8.25" customHeight="1">
      <c r="A27" s="1" t="s">
        <v>21</v>
      </c>
      <c r="B27" s="28"/>
      <c r="C27" s="28"/>
      <c r="D27" s="28"/>
      <c r="E27" s="28"/>
      <c r="F27" s="28"/>
      <c r="G27" s="28"/>
      <c r="H27" s="28"/>
      <c r="I27" s="28"/>
    </row>
    <row r="28" spans="1:9" ht="8.25" customHeight="1">
      <c r="A28" s="1" t="s">
        <v>22</v>
      </c>
      <c r="B28" s="28"/>
      <c r="C28" s="28"/>
      <c r="D28" s="28"/>
      <c r="E28" s="28"/>
      <c r="F28" s="28"/>
      <c r="G28" s="28"/>
      <c r="H28" s="28"/>
      <c r="I28" s="28"/>
    </row>
    <row r="29" spans="1:9" ht="7.8" customHeight="1">
      <c r="A29" s="2"/>
      <c r="B29" s="29"/>
      <c r="C29" s="29"/>
      <c r="D29" s="29"/>
      <c r="E29" s="29"/>
      <c r="F29" s="29"/>
      <c r="G29" s="29"/>
      <c r="H29" s="29"/>
      <c r="I29" s="29"/>
    </row>
    <row r="30" spans="1:9" ht="8.25" customHeight="1">
      <c r="A30" s="1" t="s">
        <v>23</v>
      </c>
      <c r="B30" s="35">
        <f t="shared" ref="B30" si="18">SUM(B31:B34)</f>
        <v>35.056059624758475</v>
      </c>
      <c r="C30" s="35">
        <f t="shared" ref="C30:F30" si="19">SUM(C31:C34)</f>
        <v>40.423044162382496</v>
      </c>
      <c r="D30" s="35">
        <f t="shared" si="19"/>
        <v>35.760150995539533</v>
      </c>
      <c r="E30" s="35">
        <f t="shared" si="19"/>
        <v>30.647630663867169</v>
      </c>
      <c r="F30" s="35">
        <f t="shared" si="19"/>
        <v>25.055520660600806</v>
      </c>
      <c r="G30" s="35">
        <f t="shared" ref="G30:I30" si="20">SUM(G31:G34)</f>
        <v>18.938832166493153</v>
      </c>
      <c r="H30" s="35">
        <f t="shared" si="20"/>
        <v>12.24835610073346</v>
      </c>
      <c r="I30" s="35">
        <f t="shared" si="20"/>
        <v>7.301814806929845</v>
      </c>
    </row>
    <row r="31" spans="1:9" ht="8.5500000000000007" customHeight="1">
      <c r="A31" s="1" t="s">
        <v>24</v>
      </c>
      <c r="B31" s="28">
        <v>28.306059624758479</v>
      </c>
      <c r="C31" s="28">
        <v>33.673044162382496</v>
      </c>
      <c r="D31" s="28">
        <v>29.010150995539529</v>
      </c>
      <c r="E31" s="28">
        <v>23.897630663867169</v>
      </c>
      <c r="F31" s="28">
        <v>18.305520660600806</v>
      </c>
      <c r="G31" s="28">
        <v>12.188832166493153</v>
      </c>
      <c r="H31" s="28">
        <v>5.4983561007334592</v>
      </c>
      <c r="I31" s="28">
        <v>0.55181480692984497</v>
      </c>
    </row>
    <row r="32" spans="1:9" ht="8.25" customHeight="1">
      <c r="A32" s="1" t="s">
        <v>25</v>
      </c>
      <c r="B32" s="28">
        <v>6.75</v>
      </c>
      <c r="C32" s="28">
        <v>6.75</v>
      </c>
      <c r="D32" s="28">
        <v>6.75</v>
      </c>
      <c r="E32" s="28">
        <v>6.75</v>
      </c>
      <c r="F32" s="28">
        <v>6.75</v>
      </c>
      <c r="G32" s="28">
        <v>6.75</v>
      </c>
      <c r="H32" s="28">
        <v>6.75</v>
      </c>
      <c r="I32" s="28">
        <v>6.75</v>
      </c>
    </row>
    <row r="33" spans="1:9" ht="8.25" customHeight="1">
      <c r="A33" s="1" t="s">
        <v>26</v>
      </c>
      <c r="B33" s="28"/>
      <c r="C33" s="28"/>
      <c r="D33" s="28"/>
      <c r="E33" s="28"/>
      <c r="F33" s="28"/>
      <c r="G33" s="28"/>
      <c r="H33" s="28"/>
      <c r="I33" s="28"/>
    </row>
    <row r="34" spans="1:9" ht="18" customHeight="1">
      <c r="A34" s="1" t="s">
        <v>27</v>
      </c>
      <c r="B34" s="30"/>
      <c r="C34" s="30"/>
      <c r="D34" s="30"/>
      <c r="E34" s="30"/>
      <c r="F34" s="30"/>
      <c r="G34" s="30"/>
      <c r="H34" s="30"/>
      <c r="I34" s="30"/>
    </row>
    <row r="35" spans="1:9" ht="17.25" customHeight="1">
      <c r="A35" s="2"/>
      <c r="B35" s="29"/>
      <c r="C35" s="29"/>
      <c r="D35" s="29"/>
      <c r="E35" s="29"/>
      <c r="F35" s="29"/>
      <c r="G35" s="29"/>
      <c r="H35" s="29"/>
      <c r="I35" s="29"/>
    </row>
    <row r="36" spans="1:9" ht="8.25" customHeight="1">
      <c r="A36" s="1" t="s">
        <v>28</v>
      </c>
      <c r="B36" s="28"/>
      <c r="C36" s="28"/>
      <c r="D36" s="28"/>
      <c r="E36" s="28"/>
      <c r="F36" s="28"/>
      <c r="G36" s="28"/>
      <c r="H36" s="28"/>
      <c r="I36" s="28"/>
    </row>
    <row r="37" spans="1:9" ht="8.25" customHeight="1">
      <c r="A37" s="1" t="s">
        <v>29</v>
      </c>
      <c r="B37" s="28">
        <f>'Fixed Asset Chart'!E5</f>
        <v>81.966026999999997</v>
      </c>
      <c r="C37" s="28">
        <f>'Fixed Asset Chart'!F5</f>
        <v>69.671122949999997</v>
      </c>
      <c r="D37" s="28">
        <f>'Fixed Asset Chart'!G5</f>
        <v>59.220454507499994</v>
      </c>
      <c r="E37" s="28">
        <f>'Fixed Asset Chart'!H5</f>
        <v>50.337386331374987</v>
      </c>
      <c r="F37" s="28">
        <f>'Fixed Asset Chart'!I5</f>
        <v>42.786778381668739</v>
      </c>
      <c r="G37" s="28">
        <f>'Fixed Asset Chart'!J5</f>
        <v>36.368761624418426</v>
      </c>
      <c r="H37" s="28">
        <f>'Fixed Asset Chart'!K5</f>
        <v>30.913447380755663</v>
      </c>
      <c r="I37" s="28">
        <f>'Fixed Asset Chart'!L5</f>
        <v>26.276430273642312</v>
      </c>
    </row>
    <row r="38" spans="1:9" ht="8.25" customHeight="1">
      <c r="A38" s="1" t="s">
        <v>30</v>
      </c>
      <c r="B38" s="28"/>
      <c r="C38" s="28"/>
      <c r="D38" s="28"/>
      <c r="E38" s="28"/>
      <c r="F38" s="28"/>
      <c r="G38" s="28"/>
      <c r="H38" s="28"/>
      <c r="I38" s="28"/>
    </row>
    <row r="39" spans="1:9" ht="8.5500000000000007" customHeight="1">
      <c r="A39" s="1" t="s">
        <v>31</v>
      </c>
      <c r="B39" s="28">
        <f t="shared" ref="B39:F39" si="21">B14-B22-B30-B36-B37-B38-B16</f>
        <v>10.730473375241559</v>
      </c>
      <c r="C39" s="28">
        <f t="shared" si="21"/>
        <v>29.370889137617496</v>
      </c>
      <c r="D39" s="28">
        <f t="shared" si="21"/>
        <v>55.596569496960342</v>
      </c>
      <c r="E39" s="28">
        <f t="shared" si="21"/>
        <v>71.173164254757694</v>
      </c>
      <c r="F39" s="28">
        <f t="shared" si="21"/>
        <v>85.987660957730213</v>
      </c>
      <c r="G39" s="28">
        <f t="shared" ref="G39:I39" si="22">G14-G22-G30-G36-G37-G38-G16</f>
        <v>100.28491745908832</v>
      </c>
      <c r="H39" s="28">
        <f t="shared" si="22"/>
        <v>114.2840315185108</v>
      </c>
      <c r="I39" s="28">
        <f t="shared" si="22"/>
        <v>125.81168616942773</v>
      </c>
    </row>
    <row r="40" spans="1:9" ht="8.25" customHeight="1">
      <c r="A40" s="1" t="s">
        <v>32</v>
      </c>
      <c r="B40" s="28"/>
      <c r="C40" s="28"/>
      <c r="D40" s="28"/>
      <c r="E40" s="28"/>
      <c r="F40" s="28"/>
      <c r="G40" s="28"/>
      <c r="H40" s="28"/>
      <c r="I40" s="28"/>
    </row>
    <row r="41" spans="1:9" ht="8.25" customHeight="1">
      <c r="A41" s="1" t="s">
        <v>33</v>
      </c>
      <c r="B41" s="28"/>
      <c r="C41" s="28"/>
      <c r="D41" s="28"/>
      <c r="E41" s="28"/>
      <c r="F41" s="28"/>
      <c r="G41" s="28"/>
      <c r="H41" s="28"/>
      <c r="I41" s="28"/>
    </row>
    <row r="42" spans="1:9" ht="8.25" customHeight="1">
      <c r="A42" s="1" t="s">
        <v>34</v>
      </c>
      <c r="B42" s="28">
        <f t="shared" ref="B42" si="23">B39*30%</f>
        <v>3.2191420125724677</v>
      </c>
      <c r="C42" s="28">
        <f t="shared" ref="C42:F42" si="24">C39*30%</f>
        <v>8.8112667412852481</v>
      </c>
      <c r="D42" s="28">
        <f t="shared" si="24"/>
        <v>16.678970849088103</v>
      </c>
      <c r="E42" s="28">
        <f t="shared" si="24"/>
        <v>21.351949276427309</v>
      </c>
      <c r="F42" s="28">
        <f t="shared" si="24"/>
        <v>25.796298287319065</v>
      </c>
      <c r="G42" s="28">
        <f t="shared" ref="G42:I42" si="25">G39*30%</f>
        <v>30.085475237726495</v>
      </c>
      <c r="H42" s="28">
        <f t="shared" si="25"/>
        <v>34.285209455553236</v>
      </c>
      <c r="I42" s="28">
        <f t="shared" si="25"/>
        <v>37.743505850828321</v>
      </c>
    </row>
    <row r="43" spans="1:9" ht="8.25" customHeight="1">
      <c r="A43" s="1" t="s">
        <v>35</v>
      </c>
      <c r="B43" s="28">
        <f t="shared" ref="B43" si="26">B39-B42</f>
        <v>7.5113313626690914</v>
      </c>
      <c r="C43" s="28">
        <f t="shared" ref="C43:F43" si="27">C39-C42</f>
        <v>20.559622396332248</v>
      </c>
      <c r="D43" s="28">
        <f t="shared" si="27"/>
        <v>38.917598647872239</v>
      </c>
      <c r="E43" s="28">
        <f t="shared" si="27"/>
        <v>49.821214978330389</v>
      </c>
      <c r="F43" s="28">
        <f t="shared" si="27"/>
        <v>60.191362670411152</v>
      </c>
      <c r="G43" s="28">
        <f t="shared" ref="G43:I43" si="28">G39-G42</f>
        <v>70.199442221361821</v>
      </c>
      <c r="H43" s="28">
        <f t="shared" si="28"/>
        <v>79.998822062957572</v>
      </c>
      <c r="I43" s="28">
        <f t="shared" si="28"/>
        <v>88.068180318599417</v>
      </c>
    </row>
    <row r="45" spans="1:9">
      <c r="A45" s="72" t="s">
        <v>111</v>
      </c>
      <c r="B45" s="73"/>
      <c r="C45" s="73"/>
      <c r="D45" s="73"/>
      <c r="E45" s="73"/>
      <c r="F45" s="73"/>
      <c r="G45" s="73"/>
      <c r="H45" s="73"/>
      <c r="I45" s="73"/>
    </row>
    <row r="46" spans="1:9">
      <c r="A46" s="69" t="s">
        <v>0</v>
      </c>
      <c r="B46" s="10">
        <v>2027</v>
      </c>
      <c r="C46" s="10">
        <v>2028</v>
      </c>
      <c r="D46" s="10">
        <v>2029</v>
      </c>
      <c r="E46" s="10">
        <v>2030</v>
      </c>
      <c r="F46" s="10">
        <v>2031</v>
      </c>
      <c r="G46" s="8">
        <v>2032</v>
      </c>
      <c r="H46" s="8">
        <v>2033</v>
      </c>
      <c r="I46" s="8">
        <v>2034</v>
      </c>
    </row>
    <row r="47" spans="1:9">
      <c r="A47" s="69"/>
      <c r="B47" s="11" t="s">
        <v>1</v>
      </c>
      <c r="C47" s="11" t="s">
        <v>1</v>
      </c>
      <c r="D47" s="11" t="s">
        <v>1</v>
      </c>
      <c r="E47" s="11" t="s">
        <v>1</v>
      </c>
      <c r="F47" s="11" t="s">
        <v>1</v>
      </c>
      <c r="G47" s="3" t="s">
        <v>1</v>
      </c>
      <c r="H47" s="3" t="s">
        <v>1</v>
      </c>
      <c r="I47" s="3" t="s">
        <v>1</v>
      </c>
    </row>
    <row r="48" spans="1:9">
      <c r="A48" s="17" t="s">
        <v>189</v>
      </c>
      <c r="B48" s="18">
        <f t="shared" ref="B48:F48" si="29">B7</f>
        <v>565.29199999999992</v>
      </c>
      <c r="C48" s="18">
        <f t="shared" si="29"/>
        <v>1076.131875</v>
      </c>
      <c r="D48" s="18">
        <f t="shared" si="29"/>
        <v>1160.9324999999999</v>
      </c>
      <c r="E48" s="18">
        <f t="shared" si="29"/>
        <v>1195.569375</v>
      </c>
      <c r="F48" s="18">
        <f t="shared" si="29"/>
        <v>1230.684</v>
      </c>
      <c r="G48" s="18">
        <f t="shared" ref="G48:I48" si="30">G7</f>
        <v>1266.2763749999999</v>
      </c>
      <c r="H48" s="18">
        <f t="shared" si="30"/>
        <v>1302.3465000000001</v>
      </c>
      <c r="I48" s="18">
        <f t="shared" si="30"/>
        <v>1338.8943749999999</v>
      </c>
    </row>
    <row r="49" spans="1:9">
      <c r="A49" s="17" t="s">
        <v>190</v>
      </c>
      <c r="B49" s="18">
        <f t="shared" ref="B49" si="31">B39+B37+B30</f>
        <v>127.75256000000003</v>
      </c>
      <c r="C49" s="18">
        <f t="shared" ref="C49:E49" si="32">C39+C37+C30</f>
        <v>139.46505624999998</v>
      </c>
      <c r="D49" s="18">
        <f t="shared" si="32"/>
        <v>150.57717499999987</v>
      </c>
      <c r="E49" s="18">
        <f t="shared" si="32"/>
        <v>152.15818124999984</v>
      </c>
      <c r="F49" s="18">
        <f>F39+F37+F30+F42</f>
        <v>179.62625828731882</v>
      </c>
      <c r="G49" s="18">
        <f t="shared" ref="G49:I49" si="33">G39+G37+G30+G42</f>
        <v>185.67798648772637</v>
      </c>
      <c r="H49" s="18">
        <f t="shared" si="33"/>
        <v>191.73104445555316</v>
      </c>
      <c r="I49" s="18">
        <f t="shared" si="33"/>
        <v>197.13343710082822</v>
      </c>
    </row>
    <row r="50" spans="1:9">
      <c r="A50" s="17" t="s">
        <v>87</v>
      </c>
      <c r="B50" s="18">
        <f t="shared" ref="B50" si="34">B49/B48*100</f>
        <v>22.599392880139828</v>
      </c>
      <c r="C50" s="18">
        <f t="shared" ref="C50:F50" si="35">C49/C48*100</f>
        <v>12.959848090179465</v>
      </c>
      <c r="D50" s="18">
        <f t="shared" si="35"/>
        <v>12.970364340734699</v>
      </c>
      <c r="E50" s="18">
        <f t="shared" si="35"/>
        <v>12.726838310825739</v>
      </c>
      <c r="F50" s="18">
        <f t="shared" si="35"/>
        <v>14.595644234207874</v>
      </c>
      <c r="G50" s="18">
        <f t="shared" ref="G50:I50" si="36">G49/G48*100</f>
        <v>14.663306538252865</v>
      </c>
      <c r="H50" s="18">
        <f t="shared" si="36"/>
        <v>14.721968727643</v>
      </c>
      <c r="I50" s="18">
        <f t="shared" si="36"/>
        <v>14.723598872452373</v>
      </c>
    </row>
    <row r="51" spans="1:9">
      <c r="A51" s="17" t="s">
        <v>191</v>
      </c>
      <c r="B51" s="18">
        <f t="shared" ref="B51" si="37">B43</f>
        <v>7.5113313626690914</v>
      </c>
      <c r="C51" s="18">
        <f t="shared" ref="C51:F51" si="38">C43</f>
        <v>20.559622396332248</v>
      </c>
      <c r="D51" s="18">
        <f t="shared" si="38"/>
        <v>38.917598647872239</v>
      </c>
      <c r="E51" s="18">
        <f t="shared" si="38"/>
        <v>49.821214978330389</v>
      </c>
      <c r="F51" s="18">
        <f t="shared" si="38"/>
        <v>60.191362670411152</v>
      </c>
      <c r="G51" s="18">
        <f t="shared" ref="G51:I51" si="39">G43</f>
        <v>70.199442221361821</v>
      </c>
      <c r="H51" s="18">
        <f t="shared" si="39"/>
        <v>79.998822062957572</v>
      </c>
      <c r="I51" s="18">
        <f t="shared" si="39"/>
        <v>88.068180318599417</v>
      </c>
    </row>
    <row r="52" spans="1:9">
      <c r="A52" s="17" t="s">
        <v>88</v>
      </c>
      <c r="B52" s="18">
        <f t="shared" ref="B52" si="40">B51/B48*100</f>
        <v>1.3287524611473527</v>
      </c>
      <c r="C52" s="18">
        <f t="shared" ref="C52:F52" si="41">C51/C48*100</f>
        <v>1.9105114228060802</v>
      </c>
      <c r="D52" s="18">
        <f t="shared" si="41"/>
        <v>3.3522705797169294</v>
      </c>
      <c r="E52" s="18">
        <f t="shared" si="41"/>
        <v>4.1671538281356852</v>
      </c>
      <c r="F52" s="18">
        <f t="shared" si="41"/>
        <v>4.8908869108894848</v>
      </c>
      <c r="G52" s="18">
        <f t="shared" ref="G52:I52" si="42">G51/G48*100</f>
        <v>5.5437694019492252</v>
      </c>
      <c r="H52" s="18">
        <f t="shared" si="42"/>
        <v>6.1426680275147643</v>
      </c>
      <c r="I52" s="18">
        <f t="shared" si="42"/>
        <v>6.5776794617274748</v>
      </c>
    </row>
    <row r="53" spans="1:9">
      <c r="A53" s="17" t="s">
        <v>107</v>
      </c>
      <c r="B53" s="18">
        <f t="shared" ref="B53" si="43">B37</f>
        <v>81.966026999999997</v>
      </c>
      <c r="C53" s="18">
        <f t="shared" ref="C53:F53" si="44">C37</f>
        <v>69.671122949999997</v>
      </c>
      <c r="D53" s="18">
        <f t="shared" si="44"/>
        <v>59.220454507499994</v>
      </c>
      <c r="E53" s="18">
        <f t="shared" si="44"/>
        <v>50.337386331374987</v>
      </c>
      <c r="F53" s="18">
        <f t="shared" si="44"/>
        <v>42.786778381668739</v>
      </c>
      <c r="G53" s="18">
        <f t="shared" ref="G53:I53" si="45">G37</f>
        <v>36.368761624418426</v>
      </c>
      <c r="H53" s="18">
        <f t="shared" si="45"/>
        <v>30.913447380755663</v>
      </c>
      <c r="I53" s="18">
        <f t="shared" si="45"/>
        <v>26.276430273642312</v>
      </c>
    </row>
    <row r="54" spans="1:9">
      <c r="A54" s="17" t="s">
        <v>106</v>
      </c>
      <c r="B54" s="18">
        <f t="shared" ref="B54" si="46">B53+B51</f>
        <v>89.477358362669094</v>
      </c>
      <c r="C54" s="18">
        <f t="shared" ref="C54:F54" si="47">C53+C51</f>
        <v>90.230745346332242</v>
      </c>
      <c r="D54" s="18">
        <f t="shared" si="47"/>
        <v>98.138053155372234</v>
      </c>
      <c r="E54" s="18">
        <f t="shared" si="47"/>
        <v>100.15860130970538</v>
      </c>
      <c r="F54" s="18">
        <f t="shared" si="47"/>
        <v>102.97814105207989</v>
      </c>
      <c r="G54" s="18">
        <f t="shared" ref="G54:I54" si="48">G53+G51</f>
        <v>106.56820384578025</v>
      </c>
      <c r="H54" s="18">
        <f t="shared" si="48"/>
        <v>110.91226944371323</v>
      </c>
      <c r="I54" s="18">
        <f t="shared" si="48"/>
        <v>114.34461059224174</v>
      </c>
    </row>
    <row r="55" spans="1:9">
      <c r="A55" s="17" t="s">
        <v>90</v>
      </c>
      <c r="B55" s="18">
        <f>B31+B32+'Balance Sheet'!C15</f>
        <v>89.55653302921894</v>
      </c>
      <c r="C55" s="18">
        <f>C31+C32+'Balance Sheet'!C15</f>
        <v>94.92351756684296</v>
      </c>
      <c r="D55" s="18">
        <f>D31+D32+'Balance Sheet'!D15</f>
        <v>95.373144731672369</v>
      </c>
      <c r="E55" s="18">
        <f>E31+E32+'Balance Sheet'!E15</f>
        <v>95.852734403266368</v>
      </c>
      <c r="F55" s="18">
        <f>F31+F32+'Balance Sheet'!F15</f>
        <v>96.377312894107661</v>
      </c>
      <c r="G55" s="18">
        <f>G31+G32+'Balance Sheet'!G15</f>
        <v>96.951100715759708</v>
      </c>
      <c r="H55" s="18">
        <f>H31+H32+'Balance Sheet'!H15</f>
        <v>30.505771093803613</v>
      </c>
      <c r="I55" s="18">
        <f>I31+I32+'Balance Sheet'!I15</f>
        <v>7.301814806929845</v>
      </c>
    </row>
    <row r="56" spans="1:9">
      <c r="A56" s="17" t="s">
        <v>89</v>
      </c>
      <c r="B56" s="18">
        <f t="shared" ref="B56" si="49">B49/B55</f>
        <v>1.426501849488961</v>
      </c>
      <c r="C56" s="18">
        <f t="shared" ref="C56:F56" si="50">C49/C55</f>
        <v>1.4692360736820766</v>
      </c>
      <c r="D56" s="18">
        <f t="shared" si="50"/>
        <v>1.578821537484596</v>
      </c>
      <c r="E56" s="18">
        <f t="shared" si="50"/>
        <v>1.5874161775067186</v>
      </c>
      <c r="F56" s="18">
        <f t="shared" si="50"/>
        <v>1.863781557021402</v>
      </c>
      <c r="G56" s="18">
        <f t="shared" ref="G56:I56" si="51">G49/G55</f>
        <v>1.9151715155054845</v>
      </c>
      <c r="H56" s="18">
        <f t="shared" si="51"/>
        <v>6.2850745147857587</v>
      </c>
      <c r="I56" s="18">
        <f t="shared" si="51"/>
        <v>26.997868655027677</v>
      </c>
    </row>
  </sheetData>
  <mergeCells count="4">
    <mergeCell ref="A2:A3"/>
    <mergeCell ref="A46:A47"/>
    <mergeCell ref="A1:I1"/>
    <mergeCell ref="A45:I45"/>
  </mergeCells>
  <printOptions horizontalCentered="1"/>
  <pageMargins left="0.23622047244094491" right="0.23622047244094491" top="0.74803149606299213" bottom="0.74803149606299213" header="0.31496062992125984" footer="0.31496062992125984"/>
  <pageSetup scale="148" orientation="portrait" r:id="rId1"/>
  <rowBreaks count="1" manualBreakCount="1">
    <brk id="44" max="9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view="pageBreakPreview" zoomScale="130" zoomScaleNormal="130" zoomScaleSheetLayoutView="130" workbookViewId="0">
      <selection activeCell="C15" sqref="C15"/>
    </sheetView>
  </sheetViews>
  <sheetFormatPr defaultRowHeight="13.2"/>
  <cols>
    <col min="1" max="1" width="34.5546875" bestFit="1" customWidth="1"/>
    <col min="2" max="2" width="5.77734375" customWidth="1"/>
    <col min="3" max="6" width="7.109375" bestFit="1" customWidth="1"/>
    <col min="7" max="9" width="5.77734375" customWidth="1"/>
  </cols>
  <sheetData>
    <row r="1" spans="1:9" ht="11.4" customHeight="1">
      <c r="A1" s="70" t="s">
        <v>114</v>
      </c>
      <c r="B1" s="71"/>
      <c r="C1" s="71"/>
      <c r="D1" s="71"/>
      <c r="E1" s="71"/>
      <c r="F1" s="71"/>
      <c r="G1" s="71"/>
      <c r="H1" s="71"/>
      <c r="I1" s="71"/>
    </row>
    <row r="2" spans="1:9" ht="8.5500000000000007" customHeight="1">
      <c r="A2" s="74" t="s">
        <v>36</v>
      </c>
      <c r="B2" s="75"/>
      <c r="C2" s="75"/>
      <c r="D2" s="75"/>
      <c r="E2" s="75"/>
      <c r="F2" s="75"/>
      <c r="G2" s="75"/>
      <c r="H2" s="75"/>
      <c r="I2" s="75"/>
    </row>
    <row r="3" spans="1:9" ht="8.5500000000000007" customHeight="1">
      <c r="A3" s="69" t="s">
        <v>0</v>
      </c>
      <c r="B3" s="10">
        <v>2027</v>
      </c>
      <c r="C3" s="10">
        <v>2028</v>
      </c>
      <c r="D3" s="10">
        <v>2029</v>
      </c>
      <c r="E3" s="10">
        <v>2030</v>
      </c>
      <c r="F3" s="10">
        <v>2031</v>
      </c>
      <c r="G3" s="8">
        <v>2032</v>
      </c>
      <c r="H3" s="8">
        <v>2033</v>
      </c>
      <c r="I3" s="8">
        <v>2034</v>
      </c>
    </row>
    <row r="4" spans="1:9" ht="8.25" customHeight="1">
      <c r="A4" s="69"/>
      <c r="B4" s="11" t="s">
        <v>1</v>
      </c>
      <c r="C4" s="11" t="s">
        <v>1</v>
      </c>
      <c r="D4" s="11" t="s">
        <v>1</v>
      </c>
      <c r="E4" s="11" t="s">
        <v>1</v>
      </c>
      <c r="F4" s="11" t="s">
        <v>1</v>
      </c>
      <c r="G4" s="3" t="s">
        <v>1</v>
      </c>
      <c r="H4" s="3" t="s">
        <v>1</v>
      </c>
      <c r="I4" s="3" t="s">
        <v>1</v>
      </c>
    </row>
    <row r="5" spans="1:9" ht="7.8" customHeight="1">
      <c r="A5" s="9"/>
      <c r="B5" s="9"/>
      <c r="C5" s="9"/>
      <c r="D5" s="9"/>
      <c r="E5" s="9"/>
      <c r="F5" s="9"/>
      <c r="G5" s="9"/>
      <c r="H5" s="9"/>
      <c r="I5" s="9"/>
    </row>
    <row r="6" spans="1:9" ht="8.25" customHeight="1">
      <c r="A6" s="14" t="s">
        <v>118</v>
      </c>
      <c r="B6" s="38">
        <f t="shared" ref="B6" si="0">SUM(B7:B10)</f>
        <v>157.5113313626691</v>
      </c>
      <c r="C6" s="38">
        <f>SUM(C7:C10)</f>
        <v>178.07095375900136</v>
      </c>
      <c r="D6" s="38">
        <f>SUM(D7:D10)</f>
        <v>216.98855240687359</v>
      </c>
      <c r="E6" s="38">
        <f>SUM(E7:E10)</f>
        <v>266.809767385204</v>
      </c>
      <c r="F6" s="38">
        <f>SUM(F7:F10)</f>
        <v>327.00113005561514</v>
      </c>
      <c r="G6" s="38">
        <f t="shared" ref="G6:I6" si="1">SUM(G7:G10)</f>
        <v>397.20057227697697</v>
      </c>
      <c r="H6" s="38">
        <f t="shared" si="1"/>
        <v>477.19939433993454</v>
      </c>
      <c r="I6" s="38">
        <f t="shared" si="1"/>
        <v>565.26757465853393</v>
      </c>
    </row>
    <row r="7" spans="1:9" ht="8.25" customHeight="1">
      <c r="A7" s="14" t="s">
        <v>136</v>
      </c>
      <c r="B7" s="56">
        <f>150+'P&amp;L'!B43</f>
        <v>157.5113313626691</v>
      </c>
      <c r="C7" s="56">
        <f>B7+'P&amp;L'!C43</f>
        <v>178.07095375900136</v>
      </c>
      <c r="D7" s="56">
        <f>C7+'P&amp;L'!D43</f>
        <v>216.98855240687359</v>
      </c>
      <c r="E7" s="56">
        <f>D7+'P&amp;L'!E43</f>
        <v>266.809767385204</v>
      </c>
      <c r="F7" s="56">
        <f>E7+'P&amp;L'!F43</f>
        <v>327.00113005561514</v>
      </c>
      <c r="G7" s="56">
        <f>F7+'P&amp;L'!G43</f>
        <v>397.20057227697697</v>
      </c>
      <c r="H7" s="56">
        <f>G7+'P&amp;L'!H43</f>
        <v>477.19939433993454</v>
      </c>
      <c r="I7" s="56">
        <f>H7+'P&amp;L'!I43</f>
        <v>565.26757465853393</v>
      </c>
    </row>
    <row r="8" spans="1:9" ht="8.25" customHeight="1">
      <c r="A8" s="12" t="s">
        <v>119</v>
      </c>
      <c r="B8" s="43"/>
      <c r="C8" s="43"/>
      <c r="D8" s="43"/>
      <c r="E8" s="43"/>
      <c r="F8" s="43"/>
      <c r="G8" s="43"/>
      <c r="H8" s="43"/>
      <c r="I8" s="43"/>
    </row>
    <row r="9" spans="1:9" ht="8.25" customHeight="1">
      <c r="A9" s="14" t="s">
        <v>120</v>
      </c>
      <c r="B9" s="25"/>
      <c r="C9" s="25"/>
      <c r="D9" s="25"/>
      <c r="E9" s="25"/>
      <c r="F9" s="25"/>
      <c r="G9" s="25"/>
      <c r="H9" s="25"/>
      <c r="I9" s="25"/>
    </row>
    <row r="10" spans="1:9" ht="8.25" customHeight="1">
      <c r="A10" s="12" t="s">
        <v>37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</row>
    <row r="11" spans="1:9" ht="7.8" customHeight="1">
      <c r="A11" s="9"/>
      <c r="B11" s="27"/>
      <c r="C11" s="27"/>
      <c r="D11" s="27"/>
      <c r="E11" s="27"/>
      <c r="F11" s="27"/>
      <c r="G11" s="27"/>
      <c r="H11" s="27"/>
      <c r="I11" s="27"/>
    </row>
    <row r="12" spans="1:9" ht="8.5500000000000007" customHeight="1">
      <c r="A12" s="12" t="s">
        <v>38</v>
      </c>
      <c r="B12" s="37">
        <f t="shared" ref="B12:F12" si="2">SUM(B13:B16)</f>
        <v>470.24739379345351</v>
      </c>
      <c r="C12" s="37">
        <f t="shared" si="2"/>
        <v>421.91004665583603</v>
      </c>
      <c r="D12" s="37">
        <f t="shared" si="2"/>
        <v>367.4095732513756</v>
      </c>
      <c r="E12" s="37">
        <f t="shared" si="2"/>
        <v>307.79657951524274</v>
      </c>
      <c r="F12" s="37">
        <f t="shared" si="2"/>
        <v>242.59147577584358</v>
      </c>
      <c r="G12" s="37">
        <f t="shared" ref="G12:I12" si="3">SUM(G13:G16)</f>
        <v>171.26968354233668</v>
      </c>
      <c r="H12" s="37">
        <f t="shared" si="3"/>
        <v>93.257414993070157</v>
      </c>
      <c r="I12" s="37">
        <f t="shared" si="3"/>
        <v>75</v>
      </c>
    </row>
    <row r="13" spans="1:9" ht="8.25" customHeight="1">
      <c r="A13" s="12" t="s">
        <v>39</v>
      </c>
      <c r="B13" s="25">
        <v>75</v>
      </c>
      <c r="C13" s="25">
        <v>75</v>
      </c>
      <c r="D13" s="25">
        <v>75</v>
      </c>
      <c r="E13" s="25">
        <v>75</v>
      </c>
      <c r="F13" s="25">
        <v>75</v>
      </c>
      <c r="G13" s="25">
        <v>75</v>
      </c>
      <c r="H13" s="25">
        <v>75</v>
      </c>
      <c r="I13" s="25">
        <v>75</v>
      </c>
    </row>
    <row r="14" spans="1:9" ht="8.5500000000000007" customHeight="1">
      <c r="A14" s="14" t="s">
        <v>109</v>
      </c>
      <c r="B14" s="27"/>
      <c r="C14" s="27"/>
      <c r="D14" s="27"/>
      <c r="E14" s="27"/>
      <c r="F14" s="27"/>
      <c r="G14" s="27"/>
      <c r="H14" s="27"/>
      <c r="I14" s="27"/>
    </row>
    <row r="15" spans="1:9" ht="8.25" customHeight="1">
      <c r="A15" s="12" t="s">
        <v>40</v>
      </c>
      <c r="B15" s="25">
        <v>48.337347137617506</v>
      </c>
      <c r="C15" s="25">
        <v>54.500473404460465</v>
      </c>
      <c r="D15" s="25">
        <v>59.612993736132829</v>
      </c>
      <c r="E15" s="25">
        <v>65.205103739399192</v>
      </c>
      <c r="F15" s="25">
        <v>71.321792233506855</v>
      </c>
      <c r="G15" s="25">
        <v>78.012268549266551</v>
      </c>
      <c r="H15" s="25">
        <v>18.257414993070153</v>
      </c>
      <c r="I15" s="25">
        <v>0</v>
      </c>
    </row>
    <row r="16" spans="1:9" ht="8.25" customHeight="1">
      <c r="A16" s="12" t="s">
        <v>41</v>
      </c>
      <c r="B16" s="25">
        <f t="shared" ref="B16" si="4">C15+C16</f>
        <v>346.91004665583603</v>
      </c>
      <c r="C16" s="25">
        <f t="shared" ref="C16:D16" si="5">D15+D16</f>
        <v>292.40957325137555</v>
      </c>
      <c r="D16" s="25">
        <f t="shared" si="5"/>
        <v>232.79657951524274</v>
      </c>
      <c r="E16" s="25">
        <f t="shared" ref="E16" si="6">F15+F16</f>
        <v>167.59147577584355</v>
      </c>
      <c r="F16" s="25">
        <f t="shared" ref="F16" si="7">G15+G16</f>
        <v>96.269683542336708</v>
      </c>
      <c r="G16" s="25">
        <f t="shared" ref="G16" si="8">H15+H16</f>
        <v>18.257414993070153</v>
      </c>
      <c r="H16" s="25">
        <f t="shared" ref="H16" si="9">I15+I16</f>
        <v>0</v>
      </c>
      <c r="I16" s="25">
        <v>0</v>
      </c>
    </row>
    <row r="17" spans="1:9" ht="7.8" customHeight="1">
      <c r="A17" s="9"/>
      <c r="B17" s="27"/>
      <c r="C17" s="27"/>
      <c r="D17" s="27"/>
      <c r="E17" s="27"/>
      <c r="F17" s="27"/>
      <c r="G17" s="27"/>
      <c r="H17" s="27"/>
      <c r="I17" s="27"/>
    </row>
    <row r="18" spans="1:9" ht="8.25" customHeight="1">
      <c r="A18" s="12" t="s">
        <v>42</v>
      </c>
      <c r="B18" s="37">
        <f t="shared" ref="B18" si="10">SUM(B19:B21)</f>
        <v>25</v>
      </c>
      <c r="C18" s="37">
        <f t="shared" ref="C18:F18" si="11">SUM(C19:C21)</f>
        <v>25</v>
      </c>
      <c r="D18" s="37">
        <f t="shared" si="11"/>
        <v>25</v>
      </c>
      <c r="E18" s="37">
        <f t="shared" si="11"/>
        <v>25</v>
      </c>
      <c r="F18" s="37">
        <f t="shared" si="11"/>
        <v>25</v>
      </c>
      <c r="G18" s="37">
        <f t="shared" ref="G18:I18" si="12">SUM(G19:G21)</f>
        <v>25</v>
      </c>
      <c r="H18" s="37">
        <f t="shared" si="12"/>
        <v>25</v>
      </c>
      <c r="I18" s="37">
        <f t="shared" si="12"/>
        <v>25</v>
      </c>
    </row>
    <row r="19" spans="1:9" ht="8.25" customHeight="1">
      <c r="A19" s="12" t="s">
        <v>43</v>
      </c>
      <c r="B19" s="25">
        <v>25</v>
      </c>
      <c r="C19" s="25">
        <v>25</v>
      </c>
      <c r="D19" s="25">
        <v>25</v>
      </c>
      <c r="E19" s="25">
        <v>25</v>
      </c>
      <c r="F19" s="25">
        <v>25</v>
      </c>
      <c r="G19" s="25">
        <v>25</v>
      </c>
      <c r="H19" s="25">
        <v>25</v>
      </c>
      <c r="I19" s="25">
        <v>25</v>
      </c>
    </row>
    <row r="20" spans="1:9" ht="8.25" customHeight="1">
      <c r="A20" s="12" t="s">
        <v>44</v>
      </c>
      <c r="B20" s="25"/>
      <c r="C20" s="25"/>
      <c r="D20" s="25"/>
      <c r="E20" s="25"/>
      <c r="F20" s="25"/>
      <c r="G20" s="25"/>
      <c r="H20" s="25"/>
      <c r="I20" s="25"/>
    </row>
    <row r="21" spans="1:9" ht="8.25" customHeight="1">
      <c r="A21" s="12" t="s">
        <v>45</v>
      </c>
      <c r="B21" s="25"/>
      <c r="C21" s="25"/>
      <c r="D21" s="25"/>
      <c r="E21" s="25"/>
      <c r="F21" s="25"/>
      <c r="G21" s="25"/>
      <c r="H21" s="25"/>
      <c r="I21" s="25"/>
    </row>
    <row r="22" spans="1:9" ht="7.8" customHeight="1">
      <c r="A22" s="9"/>
      <c r="B22" s="27"/>
      <c r="C22" s="27"/>
      <c r="D22" s="27"/>
      <c r="E22" s="27"/>
      <c r="F22" s="27"/>
      <c r="G22" s="27"/>
      <c r="H22" s="27"/>
      <c r="I22" s="27"/>
    </row>
    <row r="23" spans="1:9" ht="8.25" customHeight="1">
      <c r="A23" s="12" t="s">
        <v>46</v>
      </c>
      <c r="B23" s="37">
        <f t="shared" ref="B23" si="13">SUM(B24:B27)</f>
        <v>74.530915999999976</v>
      </c>
      <c r="C23" s="37">
        <f t="shared" ref="C23:F23" si="14">SUM(C24:C27)</f>
        <v>136.16285613062502</v>
      </c>
      <c r="D23" s="37">
        <f t="shared" si="14"/>
        <v>146.86522768500001</v>
      </c>
      <c r="E23" s="37">
        <f t="shared" si="14"/>
        <v>151.47115570437501</v>
      </c>
      <c r="F23" s="37">
        <f t="shared" si="14"/>
        <v>156.12936438400001</v>
      </c>
      <c r="G23" s="37">
        <f t="shared" ref="G23:I23" si="15">SUM(G24:G27)</f>
        <v>160.839737630625</v>
      </c>
      <c r="H23" s="37">
        <f t="shared" si="15"/>
        <v>165.60215935100001</v>
      </c>
      <c r="I23" s="37">
        <f t="shared" si="15"/>
        <v>170.41651345187501</v>
      </c>
    </row>
    <row r="24" spans="1:9" ht="8.25" customHeight="1">
      <c r="A24" s="12" t="s">
        <v>47</v>
      </c>
      <c r="B24" s="25">
        <f>'P&amp;L'!B19*15%</f>
        <v>69.530915999999976</v>
      </c>
      <c r="C24" s="25">
        <f>'P&amp;L'!C19*14.99%</f>
        <v>130.66285613062502</v>
      </c>
      <c r="D24" s="25">
        <f>'P&amp;L'!D19*14.98%</f>
        <v>140.86522768500001</v>
      </c>
      <c r="E24" s="25">
        <f>'P&amp;L'!E19*14.97%</f>
        <v>144.97115570437501</v>
      </c>
      <c r="F24" s="25">
        <f>'P&amp;L'!F19*14.96%</f>
        <v>149.12936438400001</v>
      </c>
      <c r="G24" s="25">
        <f>'P&amp;L'!G19*14.95%</f>
        <v>153.339737630625</v>
      </c>
      <c r="H24" s="25">
        <f>'P&amp;L'!H19*14.94%</f>
        <v>157.60215935100001</v>
      </c>
      <c r="I24" s="25">
        <f>'P&amp;L'!I19*14.93%</f>
        <v>161.91651345187501</v>
      </c>
    </row>
    <row r="25" spans="1:9" ht="8.25" customHeight="1">
      <c r="A25" s="12" t="s">
        <v>48</v>
      </c>
      <c r="B25" s="25">
        <v>5</v>
      </c>
      <c r="C25" s="25">
        <v>5.5</v>
      </c>
      <c r="D25" s="25">
        <v>6</v>
      </c>
      <c r="E25" s="25">
        <v>6.5</v>
      </c>
      <c r="F25" s="25">
        <v>7</v>
      </c>
      <c r="G25" s="25">
        <v>7.5</v>
      </c>
      <c r="H25" s="25">
        <v>8</v>
      </c>
      <c r="I25" s="25">
        <v>8.5</v>
      </c>
    </row>
    <row r="26" spans="1:9">
      <c r="A26" s="12" t="s">
        <v>49</v>
      </c>
      <c r="B26" s="26"/>
      <c r="C26" s="26"/>
      <c r="D26" s="26"/>
      <c r="E26" s="26"/>
      <c r="F26" s="26"/>
      <c r="G26" s="26"/>
      <c r="H26" s="26"/>
      <c r="I26" s="26"/>
    </row>
    <row r="27" spans="1:9" ht="8.25" customHeight="1">
      <c r="A27" s="12" t="s">
        <v>50</v>
      </c>
      <c r="B27" s="25"/>
      <c r="C27" s="25"/>
      <c r="D27" s="25"/>
      <c r="E27" s="25"/>
      <c r="F27" s="25"/>
      <c r="G27" s="25"/>
      <c r="H27" s="25"/>
      <c r="I27" s="25"/>
    </row>
    <row r="28" spans="1:9" ht="7.8" customHeight="1">
      <c r="A28" s="9"/>
      <c r="B28" s="27"/>
      <c r="C28" s="27"/>
      <c r="D28" s="27"/>
      <c r="E28" s="27"/>
      <c r="F28" s="27"/>
      <c r="G28" s="27"/>
      <c r="H28" s="27"/>
      <c r="I28" s="27"/>
    </row>
    <row r="29" spans="1:9" ht="8.25" customHeight="1">
      <c r="A29" s="13" t="s">
        <v>51</v>
      </c>
      <c r="B29" s="25">
        <f t="shared" ref="B29:F29" si="16">B6+B12+B18+B23</f>
        <v>727.28964115612257</v>
      </c>
      <c r="C29" s="25">
        <f t="shared" si="16"/>
        <v>761.14385654546231</v>
      </c>
      <c r="D29" s="25">
        <f t="shared" si="16"/>
        <v>756.26335334324926</v>
      </c>
      <c r="E29" s="25">
        <f t="shared" si="16"/>
        <v>751.0775026048218</v>
      </c>
      <c r="F29" s="25">
        <f t="shared" si="16"/>
        <v>750.72197021545878</v>
      </c>
      <c r="G29" s="25">
        <f t="shared" ref="G29:I29" si="17">G6+G12+G18+G23</f>
        <v>754.3099934499387</v>
      </c>
      <c r="H29" s="25">
        <f t="shared" si="17"/>
        <v>761.05896868400464</v>
      </c>
      <c r="I29" s="25">
        <f t="shared" si="17"/>
        <v>835.68408811040899</v>
      </c>
    </row>
    <row r="30" spans="1:9" ht="14.4" customHeight="1">
      <c r="A30" s="55"/>
      <c r="B30" s="44"/>
      <c r="C30" s="44"/>
      <c r="D30" s="44"/>
      <c r="E30" s="44"/>
      <c r="F30" s="44"/>
      <c r="G30" s="44"/>
      <c r="H30" s="44"/>
      <c r="I30" s="44"/>
    </row>
    <row r="31" spans="1:9" ht="8.5500000000000007" customHeight="1">
      <c r="A31" s="58" t="s">
        <v>52</v>
      </c>
      <c r="B31" s="59"/>
      <c r="C31" s="59"/>
      <c r="D31" s="59"/>
      <c r="E31" s="59"/>
      <c r="F31" s="59"/>
      <c r="G31" s="59"/>
      <c r="H31" s="59"/>
      <c r="I31" s="59"/>
    </row>
    <row r="32" spans="1:9" ht="8.5500000000000007" customHeight="1">
      <c r="A32" s="69" t="s">
        <v>0</v>
      </c>
      <c r="B32" s="10">
        <v>2027</v>
      </c>
      <c r="C32" s="10">
        <v>2028</v>
      </c>
      <c r="D32" s="10">
        <v>2029</v>
      </c>
      <c r="E32" s="10">
        <v>2030</v>
      </c>
      <c r="F32" s="10">
        <v>2031</v>
      </c>
      <c r="G32" s="8">
        <v>2032</v>
      </c>
      <c r="H32" s="8">
        <v>2033</v>
      </c>
      <c r="I32" s="8">
        <v>2034</v>
      </c>
    </row>
    <row r="33" spans="1:9" ht="8.25" customHeight="1">
      <c r="A33" s="69"/>
      <c r="B33" s="11" t="s">
        <v>1</v>
      </c>
      <c r="C33" s="11" t="s">
        <v>1</v>
      </c>
      <c r="D33" s="11" t="s">
        <v>1</v>
      </c>
      <c r="E33" s="11" t="s">
        <v>1</v>
      </c>
      <c r="F33" s="11" t="s">
        <v>1</v>
      </c>
      <c r="G33" s="3" t="s">
        <v>1</v>
      </c>
      <c r="H33" s="3" t="s">
        <v>1</v>
      </c>
      <c r="I33" s="3" t="s">
        <v>1</v>
      </c>
    </row>
    <row r="34" spans="1:9" ht="7.8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8.25" customHeight="1">
      <c r="A35" s="12" t="s">
        <v>53</v>
      </c>
      <c r="B35" s="25">
        <v>0</v>
      </c>
      <c r="C35" s="25">
        <f t="shared" ref="C35" si="18">B38</f>
        <v>464.47397300000006</v>
      </c>
      <c r="D35" s="25">
        <f t="shared" ref="D35" si="19">C38</f>
        <v>394.80285005000007</v>
      </c>
      <c r="E35" s="25">
        <f t="shared" ref="E35:F35" si="20">D38</f>
        <v>335.58239554250008</v>
      </c>
      <c r="F35" s="25">
        <f t="shared" si="20"/>
        <v>285.24500921112508</v>
      </c>
      <c r="G35" s="25">
        <f t="shared" ref="G35" si="21">F38</f>
        <v>242.45823082945634</v>
      </c>
      <c r="H35" s="25">
        <f t="shared" ref="H35" si="22">G38</f>
        <v>206.08946920503791</v>
      </c>
      <c r="I35" s="25">
        <f t="shared" ref="I35" si="23">H38</f>
        <v>175.17602182428226</v>
      </c>
    </row>
    <row r="36" spans="1:9" ht="8.25" customHeight="1">
      <c r="A36" s="12" t="s">
        <v>54</v>
      </c>
      <c r="B36" s="25">
        <v>546.44000000000005</v>
      </c>
      <c r="C36" s="25"/>
      <c r="D36" s="25"/>
      <c r="E36" s="25"/>
      <c r="F36" s="25"/>
      <c r="G36" s="25"/>
      <c r="H36" s="25"/>
      <c r="I36" s="25"/>
    </row>
    <row r="37" spans="1:9" ht="8.25" customHeight="1">
      <c r="A37" s="14" t="s">
        <v>82</v>
      </c>
      <c r="B37" s="25">
        <f>'P&amp;L'!B37</f>
        <v>81.966026999999997</v>
      </c>
      <c r="C37" s="25">
        <f>'P&amp;L'!C37</f>
        <v>69.671122949999997</v>
      </c>
      <c r="D37" s="25">
        <f>'P&amp;L'!D37</f>
        <v>59.220454507499994</v>
      </c>
      <c r="E37" s="25">
        <f>'P&amp;L'!E37</f>
        <v>50.337386331374987</v>
      </c>
      <c r="F37" s="25">
        <f>'P&amp;L'!F37</f>
        <v>42.786778381668739</v>
      </c>
      <c r="G37" s="25">
        <f>'P&amp;L'!G37</f>
        <v>36.368761624418426</v>
      </c>
      <c r="H37" s="25">
        <f>'P&amp;L'!H37</f>
        <v>30.913447380755663</v>
      </c>
      <c r="I37" s="25">
        <f>'P&amp;L'!I37</f>
        <v>26.276430273642312</v>
      </c>
    </row>
    <row r="38" spans="1:9" ht="7.8" customHeight="1">
      <c r="A38" s="12" t="s">
        <v>81</v>
      </c>
      <c r="B38" s="37">
        <f t="shared" ref="B38:F38" si="24">B35+B36-B37</f>
        <v>464.47397300000006</v>
      </c>
      <c r="C38" s="37">
        <f t="shared" si="24"/>
        <v>394.80285005000007</v>
      </c>
      <c r="D38" s="37">
        <f t="shared" si="24"/>
        <v>335.58239554250008</v>
      </c>
      <c r="E38" s="37">
        <f t="shared" si="24"/>
        <v>285.24500921112508</v>
      </c>
      <c r="F38" s="37">
        <f t="shared" si="24"/>
        <v>242.45823082945634</v>
      </c>
      <c r="G38" s="37">
        <f t="shared" ref="G38:I38" si="25">G35+G36-G37</f>
        <v>206.08946920503791</v>
      </c>
      <c r="H38" s="37">
        <f t="shared" si="25"/>
        <v>175.17602182428226</v>
      </c>
      <c r="I38" s="37">
        <f t="shared" si="25"/>
        <v>148.89959155063994</v>
      </c>
    </row>
    <row r="39" spans="1:9" ht="7.8" customHeight="1">
      <c r="A39" s="9"/>
      <c r="B39" s="27"/>
      <c r="C39" s="27"/>
      <c r="D39" s="27"/>
      <c r="E39" s="27"/>
      <c r="F39" s="27"/>
      <c r="G39" s="27"/>
      <c r="H39" s="27"/>
      <c r="I39" s="27"/>
    </row>
    <row r="40" spans="1:9" ht="8.25" customHeight="1">
      <c r="A40" s="12" t="s">
        <v>55</v>
      </c>
      <c r="B40" s="37">
        <f t="shared" ref="B40" si="26">SUM(B41:B43)</f>
        <v>0</v>
      </c>
      <c r="C40" s="37">
        <f t="shared" ref="C40:F40" si="27">SUM(C41:C43)</f>
        <v>0</v>
      </c>
      <c r="D40" s="37">
        <f t="shared" si="27"/>
        <v>0</v>
      </c>
      <c r="E40" s="37">
        <f t="shared" si="27"/>
        <v>0</v>
      </c>
      <c r="F40" s="37">
        <f t="shared" si="27"/>
        <v>0</v>
      </c>
      <c r="G40" s="37">
        <f t="shared" ref="G40:I40" si="28">SUM(G41:G43)</f>
        <v>0</v>
      </c>
      <c r="H40" s="37">
        <f t="shared" si="28"/>
        <v>0</v>
      </c>
      <c r="I40" s="37">
        <f t="shared" si="28"/>
        <v>0</v>
      </c>
    </row>
    <row r="41" spans="1:9" ht="8.25" customHeight="1">
      <c r="A41" s="12" t="s">
        <v>56</v>
      </c>
      <c r="B41" s="25"/>
      <c r="C41" s="25"/>
      <c r="D41" s="25"/>
      <c r="E41" s="25"/>
      <c r="F41" s="25"/>
      <c r="G41" s="25"/>
      <c r="H41" s="25"/>
      <c r="I41" s="25"/>
    </row>
    <row r="42" spans="1:9" ht="8.25" customHeight="1">
      <c r="A42" s="12" t="s">
        <v>57</v>
      </c>
      <c r="B42" s="25">
        <v>0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</row>
    <row r="43" spans="1:9" ht="8.25" customHeight="1">
      <c r="A43" s="12" t="s">
        <v>58</v>
      </c>
      <c r="B43" s="25"/>
      <c r="C43" s="25"/>
      <c r="D43" s="25"/>
      <c r="E43" s="25"/>
      <c r="F43" s="25"/>
      <c r="G43" s="25"/>
      <c r="H43" s="25"/>
      <c r="I43" s="25"/>
    </row>
    <row r="44" spans="1:9" ht="7.8" customHeight="1">
      <c r="A44" s="9"/>
      <c r="B44" s="27"/>
      <c r="C44" s="27"/>
      <c r="D44" s="27"/>
      <c r="E44" s="27"/>
      <c r="F44" s="27"/>
      <c r="G44" s="27"/>
      <c r="H44" s="27"/>
      <c r="I44" s="27"/>
    </row>
    <row r="45" spans="1:9" ht="8.25" customHeight="1">
      <c r="A45" s="12" t="s">
        <v>59</v>
      </c>
      <c r="B45" s="37">
        <f t="shared" ref="B45:F45" si="29">SUM(B46:B56)</f>
        <v>247.81759999999997</v>
      </c>
      <c r="C45" s="37">
        <f t="shared" si="29"/>
        <v>346.34165000000002</v>
      </c>
      <c r="D45" s="37">
        <f t="shared" si="29"/>
        <v>395.67770674999997</v>
      </c>
      <c r="E45" s="37">
        <f t="shared" si="29"/>
        <v>435.82753612499999</v>
      </c>
      <c r="F45" s="37">
        <f t="shared" si="29"/>
        <v>473.2649548</v>
      </c>
      <c r="G45" s="37">
        <f t="shared" ref="G45:I45" si="30">SUM(G46:G56)</f>
        <v>508.21981944999999</v>
      </c>
      <c r="H45" s="37">
        <f t="shared" si="30"/>
        <v>540.88198675000001</v>
      </c>
      <c r="I45" s="37">
        <f t="shared" si="30"/>
        <v>586.78131337499997</v>
      </c>
    </row>
    <row r="46" spans="1:9" ht="8.25" customHeight="1">
      <c r="A46" s="12" t="s">
        <v>60</v>
      </c>
      <c r="B46" s="25">
        <v>5</v>
      </c>
      <c r="C46" s="25">
        <v>5.5</v>
      </c>
      <c r="D46" s="25">
        <v>6</v>
      </c>
      <c r="E46" s="25">
        <v>6.5</v>
      </c>
      <c r="F46" s="25">
        <v>7</v>
      </c>
      <c r="G46" s="25">
        <v>7.5</v>
      </c>
      <c r="H46" s="25">
        <v>8</v>
      </c>
      <c r="I46" s="25">
        <v>8.5</v>
      </c>
    </row>
    <row r="47" spans="1:9" ht="8.25" customHeight="1">
      <c r="A47" s="12" t="s">
        <v>61</v>
      </c>
      <c r="B47" s="25"/>
      <c r="C47" s="25"/>
      <c r="D47" s="25"/>
      <c r="E47" s="25"/>
      <c r="F47" s="25"/>
      <c r="G47" s="25"/>
      <c r="H47" s="25"/>
      <c r="I47" s="25"/>
    </row>
    <row r="48" spans="1:9" ht="8.25" customHeight="1">
      <c r="A48" s="12" t="s">
        <v>62</v>
      </c>
      <c r="B48" s="25">
        <f>'P&amp;L'!B20</f>
        <v>70</v>
      </c>
      <c r="C48" s="25">
        <f>'P&amp;L'!C20</f>
        <v>80</v>
      </c>
      <c r="D48" s="25">
        <f>'P&amp;L'!D20</f>
        <v>90</v>
      </c>
      <c r="E48" s="25">
        <f>'P&amp;L'!E20</f>
        <v>100</v>
      </c>
      <c r="F48" s="25">
        <f>'P&amp;L'!F20</f>
        <v>110</v>
      </c>
      <c r="G48" s="25">
        <f>'P&amp;L'!G20</f>
        <v>120</v>
      </c>
      <c r="H48" s="25">
        <f>'P&amp;L'!H20</f>
        <v>130</v>
      </c>
      <c r="I48" s="25">
        <f>'P&amp;L'!I20</f>
        <v>140</v>
      </c>
    </row>
    <row r="49" spans="1:9" ht="8.25" customHeight="1">
      <c r="A49" s="12" t="s">
        <v>63</v>
      </c>
      <c r="B49" s="27"/>
      <c r="C49" s="27"/>
      <c r="D49" s="27"/>
      <c r="E49" s="27"/>
      <c r="F49" s="27"/>
      <c r="G49" s="27"/>
      <c r="H49" s="27"/>
      <c r="I49" s="27"/>
    </row>
    <row r="50" spans="1:9" ht="8.25" customHeight="1">
      <c r="A50" s="12" t="s">
        <v>64</v>
      </c>
      <c r="B50" s="25"/>
      <c r="C50" s="25"/>
      <c r="D50" s="25"/>
      <c r="E50" s="25"/>
      <c r="F50" s="25"/>
      <c r="G50" s="25"/>
      <c r="H50" s="25"/>
      <c r="I50" s="25"/>
    </row>
    <row r="51" spans="1:9" ht="8.25" customHeight="1">
      <c r="A51" s="12" t="s">
        <v>65</v>
      </c>
      <c r="B51" s="25"/>
      <c r="C51" s="25"/>
      <c r="D51" s="25"/>
      <c r="E51" s="25"/>
      <c r="F51" s="25"/>
      <c r="G51" s="25"/>
      <c r="H51" s="25"/>
      <c r="I51" s="25"/>
    </row>
    <row r="52" spans="1:9" ht="8.25" customHeight="1">
      <c r="A52" s="12" t="s">
        <v>66</v>
      </c>
      <c r="B52" s="25"/>
      <c r="C52" s="25"/>
      <c r="D52" s="25"/>
      <c r="E52" s="25"/>
      <c r="F52" s="25"/>
      <c r="G52" s="25"/>
      <c r="H52" s="25"/>
      <c r="I52" s="25"/>
    </row>
    <row r="53" spans="1:9" ht="8.25" customHeight="1">
      <c r="A53" s="12" t="s">
        <v>67</v>
      </c>
      <c r="B53" s="25">
        <f>'P&amp;L'!B7*30%</f>
        <v>169.58759999999998</v>
      </c>
      <c r="C53" s="25">
        <f>'P&amp;L'!C7*24%</f>
        <v>258.27165000000002</v>
      </c>
      <c r="D53" s="25">
        <f>'P&amp;L'!D7*23.99%</f>
        <v>278.50770674999995</v>
      </c>
      <c r="E53" s="25">
        <f>'P&amp;L'!E7*23.98%</f>
        <v>286.697536125</v>
      </c>
      <c r="F53" s="25">
        <f>'P&amp;L'!F7*23.97%</f>
        <v>294.99495480000002</v>
      </c>
      <c r="G53" s="25">
        <f>'P&amp;L'!G7*23.96%</f>
        <v>303.39981945</v>
      </c>
      <c r="H53" s="25">
        <f>'P&amp;L'!H7*23.95%</f>
        <v>311.91198675000004</v>
      </c>
      <c r="I53" s="25">
        <f>'P&amp;L'!I7*23.94%</f>
        <v>320.53131337499997</v>
      </c>
    </row>
    <row r="54" spans="1:9" ht="8.25" customHeight="1">
      <c r="A54" s="12" t="s">
        <v>68</v>
      </c>
      <c r="B54" s="25"/>
      <c r="C54" s="25"/>
      <c r="D54" s="25"/>
      <c r="E54" s="25"/>
      <c r="F54" s="25"/>
      <c r="G54" s="25"/>
      <c r="H54" s="25"/>
      <c r="I54" s="25"/>
    </row>
    <row r="55" spans="1:9" ht="8.25" customHeight="1">
      <c r="A55" s="12" t="s">
        <v>132</v>
      </c>
      <c r="B55" s="25"/>
      <c r="C55" s="25"/>
      <c r="D55" s="25"/>
      <c r="E55" s="25"/>
      <c r="F55" s="25"/>
      <c r="G55" s="25"/>
      <c r="H55" s="25"/>
      <c r="I55" s="25"/>
    </row>
    <row r="56" spans="1:9" ht="8.25" customHeight="1">
      <c r="A56" s="12" t="s">
        <v>69</v>
      </c>
      <c r="B56" s="25">
        <v>3.23</v>
      </c>
      <c r="C56" s="25">
        <v>2.57</v>
      </c>
      <c r="D56" s="25">
        <v>21.17</v>
      </c>
      <c r="E56" s="25">
        <v>42.63</v>
      </c>
      <c r="F56" s="25">
        <v>61.27</v>
      </c>
      <c r="G56" s="25">
        <v>77.319999999999993</v>
      </c>
      <c r="H56" s="25">
        <v>90.97</v>
      </c>
      <c r="I56" s="25">
        <v>117.75</v>
      </c>
    </row>
    <row r="57" spans="1:9" ht="7.8" customHeight="1">
      <c r="A57" s="9"/>
      <c r="B57" s="27"/>
      <c r="C57" s="27"/>
      <c r="D57" s="27"/>
      <c r="E57" s="27"/>
      <c r="F57" s="27"/>
      <c r="G57" s="27"/>
      <c r="H57" s="27"/>
      <c r="I57" s="27"/>
    </row>
    <row r="58" spans="1:9" ht="8.25" customHeight="1">
      <c r="A58" s="12" t="s">
        <v>70</v>
      </c>
      <c r="B58" s="37">
        <f t="shared" ref="B58:F58" si="31">B59+B60+B61</f>
        <v>15</v>
      </c>
      <c r="C58" s="37">
        <f t="shared" si="31"/>
        <v>20</v>
      </c>
      <c r="D58" s="37">
        <f t="shared" si="31"/>
        <v>25</v>
      </c>
      <c r="E58" s="37">
        <f t="shared" si="31"/>
        <v>30</v>
      </c>
      <c r="F58" s="37">
        <f t="shared" si="31"/>
        <v>35</v>
      </c>
      <c r="G58" s="37">
        <f t="shared" ref="G58:I58" si="32">G59+G60+G61</f>
        <v>40</v>
      </c>
      <c r="H58" s="37">
        <f t="shared" si="32"/>
        <v>45</v>
      </c>
      <c r="I58" s="37">
        <f t="shared" si="32"/>
        <v>100</v>
      </c>
    </row>
    <row r="59" spans="1:9" ht="8.25" customHeight="1">
      <c r="A59" s="12" t="s">
        <v>56</v>
      </c>
      <c r="B59" s="25"/>
      <c r="C59" s="25"/>
      <c r="D59" s="25"/>
      <c r="E59" s="25"/>
      <c r="F59" s="25"/>
      <c r="G59" s="25"/>
      <c r="H59" s="25"/>
      <c r="I59" s="25"/>
    </row>
    <row r="60" spans="1:9" ht="8.25" customHeight="1">
      <c r="A60" s="12" t="s">
        <v>71</v>
      </c>
      <c r="B60" s="25">
        <v>0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</row>
    <row r="61" spans="1:9" ht="8.25" customHeight="1">
      <c r="A61" s="12" t="s">
        <v>72</v>
      </c>
      <c r="B61" s="25">
        <v>15</v>
      </c>
      <c r="C61" s="25">
        <v>20</v>
      </c>
      <c r="D61" s="25">
        <v>25</v>
      </c>
      <c r="E61" s="25">
        <v>30</v>
      </c>
      <c r="F61" s="25">
        <v>35</v>
      </c>
      <c r="G61" s="25">
        <v>40</v>
      </c>
      <c r="H61" s="25">
        <v>45</v>
      </c>
      <c r="I61" s="25">
        <v>100</v>
      </c>
    </row>
    <row r="62" spans="1:9" ht="7.8" customHeight="1">
      <c r="A62" s="9"/>
      <c r="B62" s="27"/>
      <c r="C62" s="27"/>
      <c r="D62" s="27"/>
      <c r="E62" s="27"/>
      <c r="F62" s="27"/>
      <c r="G62" s="27"/>
      <c r="H62" s="27"/>
      <c r="I62" s="27"/>
    </row>
    <row r="63" spans="1:9" ht="8.25" customHeight="1">
      <c r="A63" s="12" t="s">
        <v>73</v>
      </c>
      <c r="B63" s="25">
        <f t="shared" ref="B63" si="33">SUM(B64:B67)</f>
        <v>0</v>
      </c>
      <c r="C63" s="25">
        <f t="shared" ref="C63:F63" si="34">SUM(C64:C67)</f>
        <v>0</v>
      </c>
      <c r="D63" s="25">
        <f t="shared" si="34"/>
        <v>0</v>
      </c>
      <c r="E63" s="25">
        <f t="shared" si="34"/>
        <v>0</v>
      </c>
      <c r="F63" s="25">
        <f t="shared" si="34"/>
        <v>0</v>
      </c>
      <c r="G63" s="25">
        <f t="shared" ref="G63:I63" si="35">SUM(G64:G67)</f>
        <v>0</v>
      </c>
      <c r="H63" s="25">
        <f t="shared" si="35"/>
        <v>0</v>
      </c>
      <c r="I63" s="25">
        <f t="shared" si="35"/>
        <v>0</v>
      </c>
    </row>
    <row r="64" spans="1:9" ht="8.25" customHeight="1">
      <c r="A64" s="12" t="s">
        <v>74</v>
      </c>
      <c r="B64" s="25"/>
      <c r="C64" s="25"/>
      <c r="D64" s="25"/>
      <c r="E64" s="25"/>
      <c r="F64" s="25"/>
      <c r="G64" s="25"/>
      <c r="H64" s="25"/>
      <c r="I64" s="25"/>
    </row>
    <row r="65" spans="1:9" ht="8.25" customHeight="1">
      <c r="A65" s="12" t="s">
        <v>75</v>
      </c>
      <c r="B65" s="25"/>
      <c r="C65" s="25"/>
      <c r="D65" s="25"/>
      <c r="E65" s="25"/>
      <c r="F65" s="25"/>
      <c r="G65" s="25"/>
      <c r="H65" s="25"/>
      <c r="I65" s="25"/>
    </row>
    <row r="66" spans="1:9" ht="8.25" customHeight="1">
      <c r="A66" s="12" t="s">
        <v>76</v>
      </c>
      <c r="B66" s="25"/>
      <c r="C66" s="25"/>
      <c r="D66" s="25"/>
      <c r="E66" s="25"/>
      <c r="F66" s="25"/>
      <c r="G66" s="25"/>
      <c r="H66" s="25"/>
      <c r="I66" s="25"/>
    </row>
    <row r="67" spans="1:9" ht="8.25" customHeight="1">
      <c r="A67" s="12" t="s">
        <v>33</v>
      </c>
      <c r="B67" s="25"/>
      <c r="C67" s="25"/>
      <c r="D67" s="25"/>
      <c r="E67" s="25"/>
      <c r="F67" s="25"/>
      <c r="G67" s="25"/>
      <c r="H67" s="25"/>
      <c r="I67" s="25"/>
    </row>
    <row r="68" spans="1:9" ht="7.8" customHeight="1">
      <c r="A68" s="9"/>
      <c r="B68" s="27"/>
      <c r="C68" s="27"/>
      <c r="D68" s="27"/>
      <c r="E68" s="27"/>
      <c r="F68" s="27"/>
      <c r="G68" s="27"/>
      <c r="H68" s="27"/>
      <c r="I68" s="27"/>
    </row>
    <row r="69" spans="1:9" ht="8.25" customHeight="1">
      <c r="A69" s="13" t="s">
        <v>77</v>
      </c>
      <c r="B69" s="25">
        <f t="shared" ref="B69" si="36">B63+B58+B45+B40+B38</f>
        <v>727.29157299999997</v>
      </c>
      <c r="C69" s="25">
        <f t="shared" ref="C69:F69" si="37">C63+C58+C45+C40+C38</f>
        <v>761.14450005000003</v>
      </c>
      <c r="D69" s="25">
        <f t="shared" si="37"/>
        <v>756.26010229250005</v>
      </c>
      <c r="E69" s="25">
        <f t="shared" si="37"/>
        <v>751.07254533612513</v>
      </c>
      <c r="F69" s="25">
        <f t="shared" si="37"/>
        <v>750.72318562945634</v>
      </c>
      <c r="G69" s="25">
        <f t="shared" ref="G69:I69" si="38">G63+G58+G45+G40+G38</f>
        <v>754.30928865503779</v>
      </c>
      <c r="H69" s="25">
        <f t="shared" si="38"/>
        <v>761.05800857428221</v>
      </c>
      <c r="I69" s="25">
        <f t="shared" si="38"/>
        <v>835.68090492563988</v>
      </c>
    </row>
    <row r="70" spans="1:9">
      <c r="A70" s="4"/>
      <c r="B70" s="22"/>
      <c r="C70" s="22"/>
      <c r="D70" s="22"/>
      <c r="E70" s="22"/>
      <c r="F70" s="22"/>
      <c r="G70" s="22"/>
      <c r="H70" s="22"/>
      <c r="I70" s="22"/>
    </row>
    <row r="71" spans="1:9">
      <c r="A71" s="72" t="s">
        <v>112</v>
      </c>
      <c r="B71" s="73"/>
      <c r="C71" s="73"/>
      <c r="D71" s="73"/>
      <c r="E71" s="73"/>
      <c r="F71" s="73"/>
      <c r="G71" s="73"/>
      <c r="H71" s="73"/>
      <c r="I71" s="73"/>
    </row>
    <row r="72" spans="1:9">
      <c r="A72" s="69" t="s">
        <v>0</v>
      </c>
      <c r="B72" s="10">
        <v>2027</v>
      </c>
      <c r="C72" s="10">
        <v>2028</v>
      </c>
      <c r="D72" s="10">
        <v>2029</v>
      </c>
      <c r="E72" s="10">
        <v>2030</v>
      </c>
      <c r="F72" s="10">
        <v>2031</v>
      </c>
      <c r="G72" s="8">
        <v>2032</v>
      </c>
      <c r="H72" s="8">
        <v>2033</v>
      </c>
      <c r="I72" s="8">
        <v>2034</v>
      </c>
    </row>
    <row r="73" spans="1:9">
      <c r="A73" s="69"/>
      <c r="B73" s="11" t="s">
        <v>1</v>
      </c>
      <c r="C73" s="11" t="s">
        <v>1</v>
      </c>
      <c r="D73" s="11" t="s">
        <v>1</v>
      </c>
      <c r="E73" s="11" t="s">
        <v>1</v>
      </c>
      <c r="F73" s="11" t="s">
        <v>1</v>
      </c>
      <c r="G73" s="3" t="s">
        <v>1</v>
      </c>
      <c r="H73" s="3" t="s">
        <v>1</v>
      </c>
      <c r="I73" s="3" t="s">
        <v>1</v>
      </c>
    </row>
    <row r="74" spans="1:9" ht="9" customHeight="1">
      <c r="A74" s="17" t="s">
        <v>192</v>
      </c>
      <c r="B74" s="18">
        <f t="shared" ref="B74:F74" si="39">B6+B19-B59</f>
        <v>182.5113313626691</v>
      </c>
      <c r="C74" s="18">
        <f t="shared" si="39"/>
        <v>203.07095375900136</v>
      </c>
      <c r="D74" s="18">
        <f t="shared" si="39"/>
        <v>241.98855240687359</v>
      </c>
      <c r="E74" s="18">
        <f t="shared" si="39"/>
        <v>291.809767385204</v>
      </c>
      <c r="F74" s="18">
        <f t="shared" si="39"/>
        <v>352.00113005561514</v>
      </c>
      <c r="G74" s="18">
        <f t="shared" ref="G74:I74" si="40">G6+G19-G59</f>
        <v>422.20057227697697</v>
      </c>
      <c r="H74" s="18">
        <f t="shared" si="40"/>
        <v>502.19939433993454</v>
      </c>
      <c r="I74" s="18">
        <f t="shared" si="40"/>
        <v>590.26757465853393</v>
      </c>
    </row>
    <row r="75" spans="1:9" ht="10.199999999999999" customHeight="1">
      <c r="A75" s="17" t="s">
        <v>193</v>
      </c>
      <c r="B75" s="18">
        <f t="shared" ref="B75:F75" si="41">B12+B23</f>
        <v>544.77830979345345</v>
      </c>
      <c r="C75" s="18">
        <f t="shared" si="41"/>
        <v>558.0729027864611</v>
      </c>
      <c r="D75" s="18">
        <f t="shared" si="41"/>
        <v>514.27480093637564</v>
      </c>
      <c r="E75" s="18">
        <f t="shared" si="41"/>
        <v>459.26773521961775</v>
      </c>
      <c r="F75" s="18">
        <f t="shared" si="41"/>
        <v>398.72084015984359</v>
      </c>
      <c r="G75" s="18">
        <f t="shared" ref="G75:I75" si="42">G12+G23</f>
        <v>332.10942117296167</v>
      </c>
      <c r="H75" s="18">
        <f t="shared" si="42"/>
        <v>258.85957434407015</v>
      </c>
      <c r="I75" s="18">
        <f t="shared" si="42"/>
        <v>245.41651345187501</v>
      </c>
    </row>
    <row r="76" spans="1:9" ht="10.8" customHeight="1">
      <c r="A76" s="17" t="s">
        <v>83</v>
      </c>
      <c r="B76" s="18">
        <f t="shared" ref="B76" si="43">B75/B74</f>
        <v>2.9849012975031233</v>
      </c>
      <c r="C76" s="18">
        <f t="shared" ref="C76:F76" si="44">C75/C74</f>
        <v>2.7481670443561597</v>
      </c>
      <c r="D76" s="18">
        <f t="shared" si="44"/>
        <v>2.1252030140321954</v>
      </c>
      <c r="E76" s="18">
        <f t="shared" si="44"/>
        <v>1.5738600504532139</v>
      </c>
      <c r="F76" s="18">
        <f t="shared" si="44"/>
        <v>1.1327260230580705</v>
      </c>
      <c r="G76" s="18">
        <f t="shared" ref="G76:I76" si="45">G75/G74</f>
        <v>0.78661527951479748</v>
      </c>
      <c r="H76" s="18">
        <f t="shared" si="45"/>
        <v>0.51545178521033874</v>
      </c>
      <c r="I76" s="18">
        <f t="shared" si="45"/>
        <v>0.4157716330493792</v>
      </c>
    </row>
    <row r="77" spans="1:9">
      <c r="A77" s="17" t="s">
        <v>84</v>
      </c>
      <c r="B77" s="18">
        <f>B48/'P&amp;L'!B7*365</f>
        <v>45.197880033681713</v>
      </c>
      <c r="C77" s="18">
        <f>C48/'P&amp;L'!C7*365</f>
        <v>27.13422088719377</v>
      </c>
      <c r="D77" s="18">
        <f>D48/'P&amp;L'!D7*365</f>
        <v>28.296218772409251</v>
      </c>
      <c r="E77" s="18">
        <f>E48/'P&amp;L'!E7*365</f>
        <v>30.529386887314672</v>
      </c>
      <c r="F77" s="18">
        <f>F48/'P&amp;L'!F7*365</f>
        <v>32.624134221294824</v>
      </c>
      <c r="G77" s="18">
        <f>G48/'P&amp;L'!G7*365</f>
        <v>34.589605290551205</v>
      </c>
      <c r="H77" s="18">
        <f>H48/'P&amp;L'!H7*365</f>
        <v>36.434236203652404</v>
      </c>
      <c r="I77" s="18">
        <f>I48/'P&amp;L'!I7*365</f>
        <v>38.165818718896332</v>
      </c>
    </row>
    <row r="78" spans="1:9">
      <c r="A78" s="17" t="s">
        <v>85</v>
      </c>
      <c r="B78" s="18">
        <f>B53/'P&amp;L'!B7*365</f>
        <v>109.5</v>
      </c>
      <c r="C78" s="18">
        <f>C53/'P&amp;L'!C7*365</f>
        <v>87.600000000000009</v>
      </c>
      <c r="D78" s="18">
        <f>D53/'P&amp;L'!D7*365</f>
        <v>87.563499999999991</v>
      </c>
      <c r="E78" s="18">
        <f>E53/'P&amp;L'!E7*365</f>
        <v>87.527000000000001</v>
      </c>
      <c r="F78" s="18">
        <f>F53/'P&amp;L'!F7*365</f>
        <v>87.490500000000011</v>
      </c>
      <c r="G78" s="18">
        <f>G53/'P&amp;L'!G7*365</f>
        <v>87.454000000000008</v>
      </c>
      <c r="H78" s="18">
        <f>H53/'P&amp;L'!H7*365</f>
        <v>87.417500000000004</v>
      </c>
      <c r="I78" s="18">
        <f>I53/'P&amp;L'!I7*365</f>
        <v>87.381</v>
      </c>
    </row>
    <row r="79" spans="1:9">
      <c r="A79" s="17" t="s">
        <v>86</v>
      </c>
      <c r="B79" s="18">
        <f>B24/'P&amp;L'!B19*365</f>
        <v>54.75</v>
      </c>
      <c r="C79" s="18">
        <f>C24/'P&amp;L'!C19*365</f>
        <v>54.713500000000003</v>
      </c>
      <c r="D79" s="18">
        <f>D24/'P&amp;L'!D19*365</f>
        <v>54.677000000000007</v>
      </c>
      <c r="E79" s="18">
        <f>E24/'P&amp;L'!E19*365</f>
        <v>54.640500000000003</v>
      </c>
      <c r="F79" s="18">
        <f>F24/'P&amp;L'!F19*365</f>
        <v>54.604000000000006</v>
      </c>
      <c r="G79" s="18">
        <f>G24/'P&amp;L'!G19*365</f>
        <v>54.567499999999995</v>
      </c>
      <c r="H79" s="18">
        <f>H24/'P&amp;L'!H19*365</f>
        <v>54.530999999999999</v>
      </c>
      <c r="I79" s="18">
        <f>I24/'P&amp;L'!I19*365</f>
        <v>54.494499999999995</v>
      </c>
    </row>
    <row r="80" spans="1:9">
      <c r="A80" s="15"/>
      <c r="B80" s="16"/>
      <c r="C80" s="16"/>
      <c r="D80" s="16"/>
      <c r="E80" s="16"/>
      <c r="F80" s="16"/>
    </row>
    <row r="81" spans="1:6">
      <c r="A81" s="15"/>
      <c r="B81" s="16"/>
      <c r="C81" s="16"/>
      <c r="D81" s="16"/>
      <c r="E81" s="16"/>
      <c r="F81" s="16"/>
    </row>
    <row r="82" spans="1:6">
      <c r="A82" s="15"/>
      <c r="B82" s="16"/>
      <c r="C82" s="16"/>
      <c r="D82" s="16"/>
      <c r="E82" s="16"/>
      <c r="F82" s="16"/>
    </row>
    <row r="83" spans="1:6">
      <c r="A83" s="15"/>
      <c r="B83" s="16"/>
      <c r="C83" s="16"/>
      <c r="D83" s="16"/>
      <c r="E83" s="16"/>
      <c r="F83" s="16"/>
    </row>
    <row r="84" spans="1:6">
      <c r="A84" s="15"/>
      <c r="B84" s="16"/>
      <c r="C84" s="16"/>
      <c r="D84" s="16"/>
      <c r="E84" s="16"/>
      <c r="F84" s="16"/>
    </row>
    <row r="85" spans="1:6">
      <c r="A85" s="15"/>
      <c r="B85" s="15"/>
      <c r="C85" s="15"/>
      <c r="D85" s="15"/>
      <c r="E85" s="15"/>
      <c r="F85" s="15"/>
    </row>
  </sheetData>
  <mergeCells count="6">
    <mergeCell ref="A72:A73"/>
    <mergeCell ref="A32:A33"/>
    <mergeCell ref="A3:A4"/>
    <mergeCell ref="A1:I1"/>
    <mergeCell ref="A2:I2"/>
    <mergeCell ref="A71:I71"/>
  </mergeCells>
  <printOptions horizontalCentered="1"/>
  <pageMargins left="0.23622047244094491" right="0.23622047244094491" top="0.74803149606299213" bottom="0.74803149606299213" header="0.31496062992125984" footer="0.31496062992125984"/>
  <pageSetup scale="120" orientation="portrait" r:id="rId1"/>
  <rowBreaks count="1" manualBreakCount="1">
    <brk id="70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C25" sqref="C25"/>
    </sheetView>
  </sheetViews>
  <sheetFormatPr defaultRowHeight="13.2"/>
  <cols>
    <col min="1" max="1" width="33.44140625" bestFit="1" customWidth="1"/>
    <col min="2" max="9" width="10.33203125" bestFit="1" customWidth="1"/>
  </cols>
  <sheetData>
    <row r="1" spans="1:10">
      <c r="A1" s="66" t="s">
        <v>181</v>
      </c>
      <c r="B1" s="66"/>
      <c r="C1" s="66"/>
      <c r="D1" s="66"/>
      <c r="E1" s="66"/>
      <c r="F1" s="66"/>
      <c r="G1" s="66"/>
      <c r="H1" s="66"/>
      <c r="I1" s="66"/>
    </row>
    <row r="2" spans="1:10">
      <c r="A2" s="7" t="s">
        <v>79</v>
      </c>
      <c r="B2" s="7" t="s">
        <v>100</v>
      </c>
      <c r="C2" s="7" t="s">
        <v>101</v>
      </c>
      <c r="D2" s="7" t="s">
        <v>102</v>
      </c>
      <c r="E2" s="7" t="s">
        <v>103</v>
      </c>
      <c r="F2" s="7" t="s">
        <v>117</v>
      </c>
      <c r="G2" s="7" t="s">
        <v>148</v>
      </c>
      <c r="H2" s="7" t="s">
        <v>142</v>
      </c>
      <c r="I2" s="7" t="s">
        <v>143</v>
      </c>
    </row>
    <row r="3" spans="1:10">
      <c r="A3" s="7" t="s">
        <v>128</v>
      </c>
      <c r="B3" s="5">
        <v>23</v>
      </c>
      <c r="C3" s="5">
        <v>23</v>
      </c>
      <c r="D3" s="5">
        <v>23</v>
      </c>
      <c r="E3" s="5">
        <v>23</v>
      </c>
      <c r="F3" s="5">
        <v>23</v>
      </c>
      <c r="G3" s="5">
        <v>23</v>
      </c>
      <c r="H3" s="5">
        <v>23</v>
      </c>
      <c r="I3" s="5">
        <v>23</v>
      </c>
    </row>
    <row r="4" spans="1:10">
      <c r="A4" s="7" t="s">
        <v>133</v>
      </c>
      <c r="B4" s="5">
        <v>350</v>
      </c>
      <c r="C4" s="5">
        <v>350</v>
      </c>
      <c r="D4" s="5">
        <v>350</v>
      </c>
      <c r="E4" s="5">
        <v>350</v>
      </c>
      <c r="F4" s="5">
        <v>350</v>
      </c>
      <c r="G4" s="5">
        <v>350</v>
      </c>
      <c r="H4" s="5">
        <v>350</v>
      </c>
      <c r="I4" s="5">
        <v>350</v>
      </c>
      <c r="J4" s="4"/>
    </row>
    <row r="5" spans="1:10">
      <c r="A5" s="7" t="s">
        <v>129</v>
      </c>
      <c r="B5" s="5">
        <f>B4*275*B3</f>
        <v>2213750</v>
      </c>
      <c r="C5" s="5">
        <f t="shared" ref="C5:F5" si="0">C4*350*C3</f>
        <v>2817500</v>
      </c>
      <c r="D5" s="5">
        <f t="shared" si="0"/>
        <v>2817500</v>
      </c>
      <c r="E5" s="5">
        <f t="shared" si="0"/>
        <v>2817500</v>
      </c>
      <c r="F5" s="5">
        <f t="shared" si="0"/>
        <v>2817500</v>
      </c>
      <c r="G5" s="5">
        <f t="shared" ref="G5:I5" si="1">G4*350*G3</f>
        <v>2817500</v>
      </c>
      <c r="H5" s="5">
        <f t="shared" si="1"/>
        <v>2817500</v>
      </c>
      <c r="I5" s="5">
        <f t="shared" si="1"/>
        <v>2817500</v>
      </c>
    </row>
    <row r="6" spans="1:10">
      <c r="A6" s="7" t="s">
        <v>130</v>
      </c>
      <c r="B6" s="19">
        <v>0.8</v>
      </c>
      <c r="C6" s="19">
        <v>0.85</v>
      </c>
      <c r="D6" s="19">
        <v>0.9</v>
      </c>
      <c r="E6" s="19">
        <v>0.91</v>
      </c>
      <c r="F6" s="19">
        <v>0.92</v>
      </c>
      <c r="G6" s="19">
        <v>0.93</v>
      </c>
      <c r="H6" s="19">
        <v>0.94</v>
      </c>
      <c r="I6" s="19">
        <v>0.95</v>
      </c>
    </row>
    <row r="7" spans="1:10">
      <c r="A7" s="7" t="s">
        <v>137</v>
      </c>
      <c r="B7" s="5">
        <v>26</v>
      </c>
      <c r="C7" s="5">
        <v>26.5</v>
      </c>
      <c r="D7" s="5">
        <v>27</v>
      </c>
      <c r="E7" s="5">
        <v>27.5</v>
      </c>
      <c r="F7" s="5">
        <v>28</v>
      </c>
      <c r="G7" s="5">
        <v>28.5</v>
      </c>
      <c r="H7" s="5">
        <v>29</v>
      </c>
      <c r="I7" s="5">
        <v>29.5</v>
      </c>
    </row>
    <row r="8" spans="1:10">
      <c r="A8" s="6" t="s">
        <v>187</v>
      </c>
      <c r="B8" s="24">
        <f>B5*B6*B7/10^5</f>
        <v>460.46</v>
      </c>
      <c r="C8" s="24">
        <f t="shared" ref="C8:I8" si="2">C5*C6*C7/10^5</f>
        <v>634.64187500000003</v>
      </c>
      <c r="D8" s="24">
        <f t="shared" si="2"/>
        <v>684.65250000000003</v>
      </c>
      <c r="E8" s="24">
        <f t="shared" si="2"/>
        <v>705.07937500000003</v>
      </c>
      <c r="F8" s="24">
        <f t="shared" si="2"/>
        <v>725.78800000000001</v>
      </c>
      <c r="G8" s="24">
        <f t="shared" si="2"/>
        <v>746.77837499999998</v>
      </c>
      <c r="H8" s="24">
        <f t="shared" si="2"/>
        <v>768.05050000000006</v>
      </c>
      <c r="I8" s="24">
        <f t="shared" si="2"/>
        <v>789.604375</v>
      </c>
    </row>
    <row r="10" spans="1:10">
      <c r="A10" s="4" t="s">
        <v>127</v>
      </c>
      <c r="B10" s="4" t="s">
        <v>183</v>
      </c>
    </row>
    <row r="11" spans="1:10">
      <c r="B11" s="4" t="s">
        <v>184</v>
      </c>
    </row>
    <row r="13" spans="1:10">
      <c r="A13" s="66" t="s">
        <v>182</v>
      </c>
      <c r="B13" s="66"/>
      <c r="C13" s="66"/>
      <c r="D13" s="66"/>
      <c r="E13" s="66"/>
      <c r="F13" s="66"/>
      <c r="G13" s="66"/>
      <c r="H13" s="66"/>
      <c r="I13" s="66"/>
    </row>
    <row r="14" spans="1:10">
      <c r="A14" s="7" t="s">
        <v>79</v>
      </c>
      <c r="B14" s="7" t="s">
        <v>100</v>
      </c>
      <c r="C14" s="7" t="s">
        <v>101</v>
      </c>
      <c r="D14" s="7" t="s">
        <v>102</v>
      </c>
      <c r="E14" s="7" t="s">
        <v>103</v>
      </c>
      <c r="F14" s="7" t="s">
        <v>117</v>
      </c>
      <c r="G14" s="7" t="s">
        <v>148</v>
      </c>
      <c r="H14" s="7" t="s">
        <v>142</v>
      </c>
      <c r="I14" s="7" t="s">
        <v>143</v>
      </c>
    </row>
    <row r="15" spans="1:10">
      <c r="A15" s="7" t="s">
        <v>128</v>
      </c>
      <c r="B15" s="5">
        <v>16</v>
      </c>
      <c r="C15" s="5">
        <v>16</v>
      </c>
      <c r="D15" s="5">
        <v>16</v>
      </c>
      <c r="E15" s="5">
        <v>16</v>
      </c>
      <c r="F15" s="5">
        <v>16</v>
      </c>
      <c r="G15" s="5">
        <v>16</v>
      </c>
      <c r="H15" s="5">
        <v>16</v>
      </c>
      <c r="I15" s="5">
        <v>16</v>
      </c>
    </row>
    <row r="16" spans="1:10">
      <c r="A16" s="7" t="s">
        <v>133</v>
      </c>
      <c r="B16" s="5">
        <v>350</v>
      </c>
      <c r="C16" s="5">
        <v>350</v>
      </c>
      <c r="D16" s="5">
        <v>350</v>
      </c>
      <c r="E16" s="5">
        <v>350</v>
      </c>
      <c r="F16" s="5">
        <v>350</v>
      </c>
      <c r="G16" s="5">
        <v>350</v>
      </c>
      <c r="H16" s="5">
        <v>350</v>
      </c>
      <c r="I16" s="5">
        <v>350</v>
      </c>
    </row>
    <row r="17" spans="1:9">
      <c r="A17" s="7" t="s">
        <v>129</v>
      </c>
      <c r="B17" s="5">
        <f>B16*90*B15</f>
        <v>504000</v>
      </c>
      <c r="C17" s="5">
        <f t="shared" ref="C17:I17" si="3">C16*350*C15</f>
        <v>1960000</v>
      </c>
      <c r="D17" s="5">
        <f t="shared" si="3"/>
        <v>1960000</v>
      </c>
      <c r="E17" s="5">
        <f t="shared" si="3"/>
        <v>1960000</v>
      </c>
      <c r="F17" s="5">
        <f t="shared" si="3"/>
        <v>1960000</v>
      </c>
      <c r="G17" s="5">
        <f t="shared" si="3"/>
        <v>1960000</v>
      </c>
      <c r="H17" s="5">
        <f t="shared" si="3"/>
        <v>1960000</v>
      </c>
      <c r="I17" s="5">
        <f t="shared" si="3"/>
        <v>1960000</v>
      </c>
    </row>
    <row r="18" spans="1:9">
      <c r="A18" s="7" t="s">
        <v>130</v>
      </c>
      <c r="B18" s="19">
        <v>0.8</v>
      </c>
      <c r="C18" s="19">
        <v>0.85</v>
      </c>
      <c r="D18" s="19">
        <v>0.9</v>
      </c>
      <c r="E18" s="19">
        <v>0.91</v>
      </c>
      <c r="F18" s="19">
        <v>0.92</v>
      </c>
      <c r="G18" s="19">
        <v>0.93</v>
      </c>
      <c r="H18" s="19">
        <v>0.94</v>
      </c>
      <c r="I18" s="19">
        <v>0.95</v>
      </c>
    </row>
    <row r="19" spans="1:9">
      <c r="A19" s="7" t="s">
        <v>137</v>
      </c>
      <c r="B19" s="5">
        <v>26</v>
      </c>
      <c r="C19" s="5">
        <v>26.5</v>
      </c>
      <c r="D19" s="5">
        <v>27</v>
      </c>
      <c r="E19" s="5">
        <v>27.5</v>
      </c>
      <c r="F19" s="5">
        <v>28</v>
      </c>
      <c r="G19" s="5">
        <v>28.5</v>
      </c>
      <c r="H19" s="5">
        <v>29</v>
      </c>
      <c r="I19" s="5">
        <v>29.5</v>
      </c>
    </row>
    <row r="20" spans="1:9">
      <c r="A20" s="6" t="s">
        <v>187</v>
      </c>
      <c r="B20" s="24">
        <f>B17*B18*B19/10^5</f>
        <v>104.83199999999999</v>
      </c>
      <c r="C20" s="24">
        <f t="shared" ref="C20:I20" si="4">C17*C18*C19/10^5</f>
        <v>441.49</v>
      </c>
      <c r="D20" s="24">
        <f t="shared" si="4"/>
        <v>476.28</v>
      </c>
      <c r="E20" s="24">
        <f t="shared" si="4"/>
        <v>490.49</v>
      </c>
      <c r="F20" s="24">
        <f t="shared" si="4"/>
        <v>504.89600000000002</v>
      </c>
      <c r="G20" s="24">
        <f t="shared" si="4"/>
        <v>519.49800000000005</v>
      </c>
      <c r="H20" s="24">
        <f t="shared" si="4"/>
        <v>534.29600000000005</v>
      </c>
      <c r="I20" s="24">
        <f t="shared" si="4"/>
        <v>549.29</v>
      </c>
    </row>
    <row r="22" spans="1:9">
      <c r="A22" s="4" t="s">
        <v>127</v>
      </c>
      <c r="B22" s="4" t="s">
        <v>185</v>
      </c>
    </row>
    <row r="23" spans="1:9">
      <c r="B23" s="4" t="s">
        <v>186</v>
      </c>
    </row>
    <row r="25" spans="1:9">
      <c r="A25" s="6" t="s">
        <v>188</v>
      </c>
      <c r="B25" s="24">
        <f t="shared" ref="B25:I25" si="5">B20+B8</f>
        <v>565.29199999999992</v>
      </c>
      <c r="C25" s="24">
        <f t="shared" si="5"/>
        <v>1076.131875</v>
      </c>
      <c r="D25" s="24">
        <f t="shared" si="5"/>
        <v>1160.9324999999999</v>
      </c>
      <c r="E25" s="24">
        <f t="shared" si="5"/>
        <v>1195.569375</v>
      </c>
      <c r="F25" s="24">
        <f t="shared" si="5"/>
        <v>1230.684</v>
      </c>
      <c r="G25" s="24">
        <f t="shared" si="5"/>
        <v>1266.2763749999999</v>
      </c>
      <c r="H25" s="24">
        <f t="shared" si="5"/>
        <v>1302.3465000000001</v>
      </c>
      <c r="I25" s="24">
        <f t="shared" si="5"/>
        <v>1338.8943749999999</v>
      </c>
    </row>
  </sheetData>
  <mergeCells count="2">
    <mergeCell ref="A1:I1"/>
    <mergeCell ref="A13:I1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view="pageBreakPreview" zoomScaleNormal="100" zoomScaleSheetLayoutView="100" workbookViewId="0">
      <selection sqref="A1:L7"/>
    </sheetView>
  </sheetViews>
  <sheetFormatPr defaultRowHeight="13.2"/>
  <cols>
    <col min="1" max="1" width="24.5546875" bestFit="1" customWidth="1"/>
    <col min="2" max="2" width="13.33203125" bestFit="1" customWidth="1"/>
    <col min="3" max="3" width="5.33203125" bestFit="1" customWidth="1"/>
    <col min="4" max="8" width="11.5546875" bestFit="1" customWidth="1"/>
    <col min="9" max="9" width="10.33203125" customWidth="1"/>
    <col min="10" max="12" width="10.33203125" bestFit="1" customWidth="1"/>
  </cols>
  <sheetData>
    <row r="1" spans="1:12">
      <c r="A1" s="66" t="s">
        <v>113</v>
      </c>
      <c r="B1" s="66"/>
      <c r="C1" s="66"/>
      <c r="D1" s="66"/>
      <c r="E1" s="66"/>
      <c r="F1" s="66"/>
      <c r="G1" s="66"/>
      <c r="H1" s="66"/>
      <c r="I1" s="66"/>
    </row>
    <row r="2" spans="1:12">
      <c r="A2" s="5"/>
      <c r="B2" s="7" t="s">
        <v>171</v>
      </c>
      <c r="C2" s="7" t="s">
        <v>104</v>
      </c>
      <c r="D2" s="7" t="s">
        <v>99</v>
      </c>
      <c r="E2" s="7" t="s">
        <v>100</v>
      </c>
      <c r="F2" s="7" t="s">
        <v>101</v>
      </c>
      <c r="G2" s="7" t="s">
        <v>102</v>
      </c>
      <c r="H2" s="7" t="s">
        <v>103</v>
      </c>
      <c r="I2" s="7" t="s">
        <v>117</v>
      </c>
      <c r="J2" s="7" t="s">
        <v>148</v>
      </c>
      <c r="K2" s="7" t="s">
        <v>142</v>
      </c>
      <c r="L2" s="7" t="s">
        <v>143</v>
      </c>
    </row>
    <row r="3" spans="1:12">
      <c r="A3" s="7" t="s">
        <v>144</v>
      </c>
      <c r="B3" s="5">
        <f>'Machinery Chart'!F11/10^5</f>
        <v>335.45490000000001</v>
      </c>
      <c r="C3" s="19">
        <v>0.15</v>
      </c>
      <c r="D3" s="23">
        <v>0</v>
      </c>
      <c r="E3" s="23">
        <f>B3*C3</f>
        <v>50.318235000000001</v>
      </c>
      <c r="F3" s="23">
        <f>E3*0.85</f>
        <v>42.770499749999999</v>
      </c>
      <c r="G3" s="23">
        <f t="shared" ref="G3:I3" si="0">F3*0.85</f>
        <v>36.354924787499996</v>
      </c>
      <c r="H3" s="23">
        <f t="shared" si="0"/>
        <v>30.901686069374996</v>
      </c>
      <c r="I3" s="23">
        <f t="shared" si="0"/>
        <v>26.266433158968745</v>
      </c>
      <c r="J3" s="23">
        <f t="shared" ref="J3:J4" si="1">I3*0.85</f>
        <v>22.326468185123431</v>
      </c>
      <c r="K3" s="23">
        <f t="shared" ref="K3:K4" si="2">J3*0.85</f>
        <v>18.977497957354917</v>
      </c>
      <c r="L3" s="23">
        <f t="shared" ref="L3:L4" si="3">K3*0.85</f>
        <v>16.130873263751678</v>
      </c>
    </row>
    <row r="4" spans="1:12">
      <c r="A4" s="7" t="s">
        <v>145</v>
      </c>
      <c r="B4" s="5">
        <f>'Machinery Chart'!F21/10^5</f>
        <v>210.98527999999999</v>
      </c>
      <c r="C4" s="19">
        <v>0.15</v>
      </c>
      <c r="D4" s="23">
        <v>0</v>
      </c>
      <c r="E4" s="23">
        <f>B4*C4</f>
        <v>31.647791999999995</v>
      </c>
      <c r="F4" s="23">
        <f>E4*0.85</f>
        <v>26.900623199999995</v>
      </c>
      <c r="G4" s="23">
        <f t="shared" ref="G4" si="4">F4*0.85</f>
        <v>22.865529719999994</v>
      </c>
      <c r="H4" s="23">
        <f t="shared" ref="H4" si="5">G4*0.85</f>
        <v>19.435700261999994</v>
      </c>
      <c r="I4" s="23">
        <f t="shared" ref="I4" si="6">H4*0.85</f>
        <v>16.520345222699994</v>
      </c>
      <c r="J4" s="23">
        <f t="shared" si="1"/>
        <v>14.042293439294994</v>
      </c>
      <c r="K4" s="23">
        <f t="shared" si="2"/>
        <v>11.935949423400745</v>
      </c>
      <c r="L4" s="23">
        <f t="shared" si="3"/>
        <v>10.145557009890632</v>
      </c>
    </row>
    <row r="5" spans="1:12">
      <c r="A5" s="66" t="s">
        <v>105</v>
      </c>
      <c r="B5" s="66"/>
      <c r="C5" s="66"/>
      <c r="D5" s="24">
        <f>SUM(D3:D4)</f>
        <v>0</v>
      </c>
      <c r="E5" s="24">
        <f t="shared" ref="E5:I5" si="7">SUM(E3:E4)</f>
        <v>81.966026999999997</v>
      </c>
      <c r="F5" s="24">
        <f t="shared" si="7"/>
        <v>69.671122949999997</v>
      </c>
      <c r="G5" s="24">
        <f t="shared" si="7"/>
        <v>59.220454507499994</v>
      </c>
      <c r="H5" s="24">
        <f t="shared" si="7"/>
        <v>50.337386331374987</v>
      </c>
      <c r="I5" s="24">
        <f t="shared" si="7"/>
        <v>42.786778381668739</v>
      </c>
      <c r="J5" s="24">
        <f t="shared" ref="J5:L5" si="8">SUM(J3:J4)</f>
        <v>36.368761624418426</v>
      </c>
      <c r="K5" s="24">
        <f t="shared" si="8"/>
        <v>30.913447380755663</v>
      </c>
      <c r="L5" s="24">
        <f t="shared" si="8"/>
        <v>26.276430273642312</v>
      </c>
    </row>
    <row r="6" spans="1:12">
      <c r="A6" s="4" t="s">
        <v>146</v>
      </c>
      <c r="B6" s="4" t="s">
        <v>179</v>
      </c>
    </row>
    <row r="7" spans="1:12">
      <c r="A7" s="4" t="s">
        <v>147</v>
      </c>
      <c r="B7" s="4" t="s">
        <v>180</v>
      </c>
    </row>
  </sheetData>
  <mergeCells count="2">
    <mergeCell ref="A5:C5"/>
    <mergeCell ref="A1:I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view="pageBreakPreview" zoomScaleNormal="100" zoomScaleSheetLayoutView="100" workbookViewId="0">
      <selection activeCell="K8" sqref="K8:K16"/>
    </sheetView>
  </sheetViews>
  <sheetFormatPr defaultRowHeight="13.2"/>
  <cols>
    <col min="1" max="1" width="7.33203125" bestFit="1" customWidth="1"/>
    <col min="2" max="2" width="12.33203125" customWidth="1"/>
    <col min="3" max="3" width="12.21875" customWidth="1"/>
    <col min="4" max="4" width="11.44140625" customWidth="1"/>
    <col min="5" max="5" width="10.88671875" customWidth="1"/>
    <col min="6" max="6" width="13.21875" bestFit="1" customWidth="1"/>
    <col min="7" max="7" width="2.77734375" customWidth="1"/>
    <col min="8" max="8" width="3" customWidth="1"/>
    <col min="9" max="9" width="11.5546875" bestFit="1" customWidth="1"/>
    <col min="10" max="10" width="15.109375" bestFit="1" customWidth="1"/>
    <col min="11" max="11" width="14.21875" bestFit="1" customWidth="1"/>
    <col min="12" max="12" width="15.44140625" bestFit="1" customWidth="1"/>
    <col min="13" max="13" width="7.5546875" bestFit="1" customWidth="1"/>
  </cols>
  <sheetData>
    <row r="1" spans="1:13" ht="15.6">
      <c r="A1" s="76" t="s">
        <v>140</v>
      </c>
      <c r="B1" s="76"/>
      <c r="C1" s="76"/>
      <c r="D1" s="76"/>
      <c r="E1" s="76"/>
      <c r="F1" s="76"/>
      <c r="I1" s="4" t="s">
        <v>127</v>
      </c>
      <c r="J1" s="4" t="s">
        <v>174</v>
      </c>
    </row>
    <row r="2" spans="1:13">
      <c r="A2" s="77" t="s">
        <v>96</v>
      </c>
      <c r="B2" s="77"/>
      <c r="C2" s="77"/>
      <c r="D2" s="77"/>
      <c r="E2" s="77"/>
      <c r="F2" s="77"/>
      <c r="J2" s="4" t="s">
        <v>175</v>
      </c>
    </row>
    <row r="3" spans="1:13">
      <c r="A3" s="20" t="s">
        <v>97</v>
      </c>
      <c r="B3" s="78" t="s">
        <v>197</v>
      </c>
      <c r="C3" s="79"/>
      <c r="D3" s="79"/>
      <c r="E3" s="79"/>
      <c r="F3" s="79"/>
    </row>
    <row r="4" spans="1:13">
      <c r="A4" s="20" t="s">
        <v>98</v>
      </c>
      <c r="B4" s="78" t="s">
        <v>173</v>
      </c>
      <c r="C4" s="79"/>
      <c r="D4" s="79"/>
      <c r="E4" s="79"/>
      <c r="F4" s="79"/>
    </row>
    <row r="5" spans="1:13">
      <c r="A5" s="20" t="s">
        <v>91</v>
      </c>
      <c r="B5" s="80">
        <v>0.09</v>
      </c>
      <c r="C5" s="80"/>
      <c r="D5" s="80"/>
      <c r="E5" s="80"/>
      <c r="F5" s="80"/>
    </row>
    <row r="6" spans="1:13" ht="15.6">
      <c r="I6" s="76" t="s">
        <v>110</v>
      </c>
      <c r="J6" s="76"/>
      <c r="K6" s="76"/>
      <c r="L6" s="76"/>
      <c r="M6" s="76"/>
    </row>
    <row r="7" spans="1:13" ht="27.6" customHeight="1">
      <c r="A7" s="40" t="s">
        <v>116</v>
      </c>
      <c r="B7" s="40" t="s">
        <v>92</v>
      </c>
      <c r="C7" s="40" t="s">
        <v>93</v>
      </c>
      <c r="D7" s="40" t="s">
        <v>94</v>
      </c>
      <c r="E7" s="40" t="s">
        <v>121</v>
      </c>
      <c r="F7" s="40" t="s">
        <v>95</v>
      </c>
      <c r="I7" s="5"/>
      <c r="J7" s="7" t="s">
        <v>93</v>
      </c>
      <c r="K7" s="7" t="s">
        <v>94</v>
      </c>
      <c r="L7" s="7" t="s">
        <v>78</v>
      </c>
      <c r="M7" s="41" t="s">
        <v>176</v>
      </c>
    </row>
    <row r="8" spans="1:13">
      <c r="A8" s="20">
        <v>1</v>
      </c>
      <c r="B8" s="21">
        <v>25159000</v>
      </c>
      <c r="C8" s="21">
        <v>0</v>
      </c>
      <c r="D8" s="21">
        <f>B8*9%/12</f>
        <v>188692.5</v>
      </c>
      <c r="E8" s="21">
        <f>D8</f>
        <v>188692.5</v>
      </c>
      <c r="F8" s="21">
        <f t="shared" ref="F8:F64" si="0">B8-C8</f>
        <v>25159000</v>
      </c>
      <c r="G8" s="4"/>
      <c r="I8" s="7" t="s">
        <v>99</v>
      </c>
      <c r="J8" s="23">
        <v>0</v>
      </c>
      <c r="K8" s="23">
        <v>0</v>
      </c>
      <c r="L8" s="23">
        <f>SUM(J8:K8)</f>
        <v>0</v>
      </c>
      <c r="M8" s="23">
        <f>L8/10^5</f>
        <v>0</v>
      </c>
    </row>
    <row r="9" spans="1:13">
      <c r="A9" s="20">
        <v>2</v>
      </c>
      <c r="B9" s="21">
        <f>F8</f>
        <v>25159000</v>
      </c>
      <c r="C9" s="21">
        <v>0</v>
      </c>
      <c r="D9" s="21">
        <f t="shared" ref="D9:D72" si="1">B9*9%/12</f>
        <v>188692.5</v>
      </c>
      <c r="E9" s="21">
        <f t="shared" ref="E9:E13" si="2">D9</f>
        <v>188692.5</v>
      </c>
      <c r="F9" s="21">
        <f t="shared" si="0"/>
        <v>25159000</v>
      </c>
      <c r="G9" s="4"/>
      <c r="I9" s="7" t="s">
        <v>100</v>
      </c>
      <c r="J9" s="23">
        <f>SUM(C8:C19)</f>
        <v>1458260.3975241517</v>
      </c>
      <c r="K9" s="23">
        <f>SUM(D8:D19)</f>
        <v>2237205.9624758479</v>
      </c>
      <c r="L9" s="23">
        <f t="shared" ref="L9:L15" si="3">SUM(J9:K9)</f>
        <v>3695466.3599999994</v>
      </c>
      <c r="M9" s="23">
        <f t="shared" ref="M9:M16" si="4">L9/10^5</f>
        <v>36.954663599999996</v>
      </c>
    </row>
    <row r="10" spans="1:13">
      <c r="A10" s="20">
        <v>3</v>
      </c>
      <c r="B10" s="21">
        <f>F9</f>
        <v>25159000</v>
      </c>
      <c r="C10" s="21">
        <v>0</v>
      </c>
      <c r="D10" s="21">
        <f t="shared" si="1"/>
        <v>188692.5</v>
      </c>
      <c r="E10" s="21">
        <f t="shared" si="2"/>
        <v>188692.5</v>
      </c>
      <c r="F10" s="21">
        <f t="shared" si="0"/>
        <v>25159000</v>
      </c>
      <c r="G10" s="4"/>
      <c r="I10" s="7" t="s">
        <v>101</v>
      </c>
      <c r="J10" s="23">
        <f>SUM(C20:C31)</f>
        <v>3120180.177525897</v>
      </c>
      <c r="K10" s="23">
        <f>SUM(D20:D31)</f>
        <v>2006442.5424741032</v>
      </c>
      <c r="L10" s="23">
        <f t="shared" si="3"/>
        <v>5126622.7200000007</v>
      </c>
      <c r="M10" s="23">
        <f t="shared" si="4"/>
        <v>51.26622720000001</v>
      </c>
    </row>
    <row r="11" spans="1:13">
      <c r="A11" s="20">
        <v>4</v>
      </c>
      <c r="B11" s="21">
        <f t="shared" ref="B11:B64" si="5">F10</f>
        <v>25159000</v>
      </c>
      <c r="C11" s="21">
        <v>0</v>
      </c>
      <c r="D11" s="21">
        <f t="shared" si="1"/>
        <v>188692.5</v>
      </c>
      <c r="E11" s="21">
        <f t="shared" si="2"/>
        <v>188692.5</v>
      </c>
      <c r="F11" s="21">
        <f t="shared" si="0"/>
        <v>25159000</v>
      </c>
      <c r="G11" s="4"/>
      <c r="I11" s="7" t="s">
        <v>102</v>
      </c>
      <c r="J11" s="23">
        <f>SUM(C32:C43)</f>
        <v>3412874.6001540981</v>
      </c>
      <c r="K11" s="23">
        <f>SUM(D32:D43)</f>
        <v>1713748.1198459016</v>
      </c>
      <c r="L11" s="23">
        <f t="shared" si="3"/>
        <v>5126622.72</v>
      </c>
      <c r="M11" s="23">
        <f t="shared" si="4"/>
        <v>51.266227199999996</v>
      </c>
    </row>
    <row r="12" spans="1:13">
      <c r="A12" s="20">
        <v>5</v>
      </c>
      <c r="B12" s="21">
        <f t="shared" si="5"/>
        <v>25159000</v>
      </c>
      <c r="C12" s="21">
        <v>0</v>
      </c>
      <c r="D12" s="21">
        <f t="shared" si="1"/>
        <v>188692.5</v>
      </c>
      <c r="E12" s="21">
        <f t="shared" si="2"/>
        <v>188692.5</v>
      </c>
      <c r="F12" s="21">
        <f t="shared" si="0"/>
        <v>25159000</v>
      </c>
      <c r="G12" s="4"/>
      <c r="I12" s="7" t="s">
        <v>103</v>
      </c>
      <c r="J12" s="23">
        <f>SUM(C44:C55)</f>
        <v>3733025.7785346517</v>
      </c>
      <c r="K12" s="23">
        <f>SUM(D44:D55)</f>
        <v>1393596.9414653485</v>
      </c>
      <c r="L12" s="23">
        <f t="shared" si="3"/>
        <v>5126622.7200000007</v>
      </c>
      <c r="M12" s="23">
        <f t="shared" si="4"/>
        <v>51.26622720000001</v>
      </c>
    </row>
    <row r="13" spans="1:13">
      <c r="A13" s="20">
        <v>6</v>
      </c>
      <c r="B13" s="21">
        <f t="shared" si="5"/>
        <v>25159000</v>
      </c>
      <c r="C13" s="21">
        <v>0</v>
      </c>
      <c r="D13" s="21">
        <f t="shared" si="1"/>
        <v>188692.5</v>
      </c>
      <c r="E13" s="21">
        <f t="shared" si="2"/>
        <v>188692.5</v>
      </c>
      <c r="F13" s="21">
        <f t="shared" si="0"/>
        <v>25159000</v>
      </c>
      <c r="G13" s="4"/>
      <c r="I13" s="7" t="s">
        <v>117</v>
      </c>
      <c r="J13" s="23">
        <f>SUM(C56:C67)</f>
        <v>4083209.3457447933</v>
      </c>
      <c r="K13" s="23">
        <f>SUM(D56:D67)</f>
        <v>1043413.3742552068</v>
      </c>
      <c r="L13" s="23">
        <f t="shared" si="3"/>
        <v>5126622.72</v>
      </c>
      <c r="M13" s="23">
        <f t="shared" si="4"/>
        <v>51.266227199999996</v>
      </c>
    </row>
    <row r="14" spans="1:13">
      <c r="A14" s="20">
        <v>7</v>
      </c>
      <c r="B14" s="21">
        <f t="shared" si="5"/>
        <v>25159000</v>
      </c>
      <c r="C14" s="21">
        <f>E14-D14</f>
        <v>238526.06</v>
      </c>
      <c r="D14" s="21">
        <f t="shared" si="1"/>
        <v>188692.5</v>
      </c>
      <c r="E14" s="21">
        <v>427218.56</v>
      </c>
      <c r="F14" s="21">
        <f t="shared" si="0"/>
        <v>24920473.940000001</v>
      </c>
      <c r="G14" s="4"/>
      <c r="I14" s="7" t="s">
        <v>141</v>
      </c>
      <c r="J14" s="23">
        <f>SUM(C68:C79)</f>
        <v>4466242.5470102765</v>
      </c>
      <c r="K14" s="23">
        <f>SUM(D68:D79)</f>
        <v>660380.17298972362</v>
      </c>
      <c r="L14" s="23">
        <f t="shared" si="3"/>
        <v>5126622.72</v>
      </c>
      <c r="M14" s="23">
        <f t="shared" si="4"/>
        <v>51.266227199999996</v>
      </c>
    </row>
    <row r="15" spans="1:13">
      <c r="A15" s="20">
        <v>8</v>
      </c>
      <c r="B15" s="21">
        <f t="shared" si="5"/>
        <v>24920473.940000001</v>
      </c>
      <c r="C15" s="21">
        <f t="shared" ref="C15:C78" si="6">E15-D15</f>
        <v>240315.00545</v>
      </c>
      <c r="D15" s="21">
        <f t="shared" si="1"/>
        <v>186903.55455</v>
      </c>
      <c r="E15" s="21">
        <v>427218.56</v>
      </c>
      <c r="F15" s="21">
        <f>B15-C15</f>
        <v>24680158.934550002</v>
      </c>
      <c r="G15" s="4"/>
      <c r="I15" s="7" t="s">
        <v>142</v>
      </c>
      <c r="J15" s="23">
        <f>SUM(C80:C91)</f>
        <v>4885206.9295914611</v>
      </c>
      <c r="K15" s="23">
        <f>SUM(D80:D91)</f>
        <v>241415.8154085397</v>
      </c>
      <c r="L15" s="23">
        <f t="shared" si="3"/>
        <v>5126622.745000001</v>
      </c>
      <c r="M15" s="23">
        <f t="shared" si="4"/>
        <v>51.266227450000009</v>
      </c>
    </row>
    <row r="16" spans="1:13">
      <c r="A16" s="20">
        <v>9</v>
      </c>
      <c r="B16" s="21">
        <f t="shared" si="5"/>
        <v>24680158.934550002</v>
      </c>
      <c r="C16" s="21">
        <f t="shared" si="6"/>
        <v>242117.36799087498</v>
      </c>
      <c r="D16" s="21">
        <f t="shared" si="1"/>
        <v>185101.19200912502</v>
      </c>
      <c r="E16" s="21">
        <v>427218.56</v>
      </c>
      <c r="F16" s="21">
        <f t="shared" si="0"/>
        <v>24438041.566559128</v>
      </c>
      <c r="G16" s="4"/>
      <c r="I16" s="7" t="s">
        <v>143</v>
      </c>
      <c r="J16" s="23">
        <v>0</v>
      </c>
      <c r="K16" s="23">
        <v>0</v>
      </c>
      <c r="L16" s="23">
        <v>0</v>
      </c>
      <c r="M16" s="23">
        <f t="shared" si="4"/>
        <v>0</v>
      </c>
    </row>
    <row r="17" spans="1:13">
      <c r="A17" s="20">
        <v>10</v>
      </c>
      <c r="B17" s="21">
        <f t="shared" si="5"/>
        <v>24438041.566559128</v>
      </c>
      <c r="C17" s="21">
        <f t="shared" si="6"/>
        <v>243933.24825080653</v>
      </c>
      <c r="D17" s="21">
        <f t="shared" si="1"/>
        <v>183285.31174919347</v>
      </c>
      <c r="E17" s="21">
        <v>427218.56</v>
      </c>
      <c r="F17" s="21">
        <f t="shared" si="0"/>
        <v>24194108.318308324</v>
      </c>
      <c r="G17" s="4"/>
      <c r="I17" s="6" t="s">
        <v>78</v>
      </c>
      <c r="J17" s="24">
        <f>SUM(J8:J16)</f>
        <v>25158999.776085328</v>
      </c>
      <c r="K17" s="24">
        <f t="shared" ref="K17:M17" si="7">SUM(K8:K16)</f>
        <v>9296202.9289146718</v>
      </c>
      <c r="L17" s="24">
        <f t="shared" si="7"/>
        <v>34455202.704999998</v>
      </c>
      <c r="M17" s="24">
        <f t="shared" si="7"/>
        <v>344.55202705000005</v>
      </c>
    </row>
    <row r="18" spans="1:13">
      <c r="A18" s="20">
        <v>11</v>
      </c>
      <c r="B18" s="21">
        <f t="shared" si="5"/>
        <v>24194108.318308324</v>
      </c>
      <c r="C18" s="21">
        <f t="shared" si="6"/>
        <v>245762.74761268758</v>
      </c>
      <c r="D18" s="21">
        <f t="shared" si="1"/>
        <v>181455.81238731241</v>
      </c>
      <c r="E18" s="21">
        <v>427218.56</v>
      </c>
      <c r="F18" s="21">
        <f t="shared" si="0"/>
        <v>23948345.570695635</v>
      </c>
      <c r="G18" s="4"/>
    </row>
    <row r="19" spans="1:13">
      <c r="A19" s="20">
        <v>12</v>
      </c>
      <c r="B19" s="21">
        <f t="shared" si="5"/>
        <v>23948345.570695635</v>
      </c>
      <c r="C19" s="21">
        <f t="shared" si="6"/>
        <v>247605.96821978275</v>
      </c>
      <c r="D19" s="21">
        <f t="shared" si="1"/>
        <v>179612.59178021725</v>
      </c>
      <c r="E19" s="21">
        <v>427218.56</v>
      </c>
      <c r="F19" s="21">
        <f t="shared" si="0"/>
        <v>23700739.602475852</v>
      </c>
      <c r="G19" s="4"/>
    </row>
    <row r="20" spans="1:13">
      <c r="A20" s="20">
        <v>13</v>
      </c>
      <c r="B20" s="21">
        <f t="shared" si="5"/>
        <v>23700739.602475852</v>
      </c>
      <c r="C20" s="21">
        <f t="shared" si="6"/>
        <v>249463.01298143112</v>
      </c>
      <c r="D20" s="21">
        <f t="shared" si="1"/>
        <v>177755.54701856888</v>
      </c>
      <c r="E20" s="21">
        <v>427218.56</v>
      </c>
      <c r="F20" s="21">
        <f t="shared" si="0"/>
        <v>23451276.589494422</v>
      </c>
      <c r="G20" s="4"/>
      <c r="I20" s="22"/>
    </row>
    <row r="21" spans="1:13">
      <c r="A21" s="20">
        <v>14</v>
      </c>
      <c r="B21" s="21">
        <f t="shared" si="5"/>
        <v>23451276.589494422</v>
      </c>
      <c r="C21" s="21">
        <f t="shared" si="6"/>
        <v>251333.98557879185</v>
      </c>
      <c r="D21" s="21">
        <f t="shared" si="1"/>
        <v>175884.57442120815</v>
      </c>
      <c r="E21" s="21">
        <v>427218.56</v>
      </c>
      <c r="F21" s="21">
        <f t="shared" si="0"/>
        <v>23199942.603915632</v>
      </c>
      <c r="G21" s="4"/>
    </row>
    <row r="22" spans="1:13">
      <c r="A22" s="20">
        <v>15</v>
      </c>
      <c r="B22" s="21">
        <f t="shared" si="5"/>
        <v>23199942.603915632</v>
      </c>
      <c r="C22" s="21">
        <f t="shared" si="6"/>
        <v>253218.99047063277</v>
      </c>
      <c r="D22" s="21">
        <f t="shared" si="1"/>
        <v>173999.56952936723</v>
      </c>
      <c r="E22" s="21">
        <v>427218.56</v>
      </c>
      <c r="F22" s="21">
        <f t="shared" si="0"/>
        <v>22946723.613444999</v>
      </c>
      <c r="G22" s="4"/>
    </row>
    <row r="23" spans="1:13">
      <c r="A23" s="20">
        <v>16</v>
      </c>
      <c r="B23" s="21">
        <f t="shared" si="5"/>
        <v>22946723.613444999</v>
      </c>
      <c r="C23" s="21">
        <f t="shared" si="6"/>
        <v>255118.13289916251</v>
      </c>
      <c r="D23" s="21">
        <f t="shared" si="1"/>
        <v>172100.42710083749</v>
      </c>
      <c r="E23" s="21">
        <v>427218.56</v>
      </c>
      <c r="F23" s="21">
        <f t="shared" si="0"/>
        <v>22691605.480545837</v>
      </c>
      <c r="G23" s="4"/>
    </row>
    <row r="24" spans="1:13">
      <c r="A24" s="20">
        <v>17</v>
      </c>
      <c r="B24" s="21">
        <f t="shared" si="5"/>
        <v>22691605.480545837</v>
      </c>
      <c r="C24" s="21">
        <f t="shared" si="6"/>
        <v>257031.51889590622</v>
      </c>
      <c r="D24" s="21">
        <f t="shared" si="1"/>
        <v>170187.04110409378</v>
      </c>
      <c r="E24" s="21">
        <v>427218.56</v>
      </c>
      <c r="F24" s="21">
        <f t="shared" si="0"/>
        <v>22434573.961649932</v>
      </c>
      <c r="G24" s="4"/>
    </row>
    <row r="25" spans="1:13">
      <c r="A25" s="20">
        <v>18</v>
      </c>
      <c r="B25" s="21">
        <f t="shared" si="5"/>
        <v>22434573.961649932</v>
      </c>
      <c r="C25" s="21">
        <f t="shared" si="6"/>
        <v>258959.25528762551</v>
      </c>
      <c r="D25" s="21">
        <f t="shared" si="1"/>
        <v>168259.30471237449</v>
      </c>
      <c r="E25" s="21">
        <v>427218.56</v>
      </c>
      <c r="F25" s="21">
        <f t="shared" si="0"/>
        <v>22175614.706362307</v>
      </c>
      <c r="G25" s="4"/>
    </row>
    <row r="26" spans="1:13">
      <c r="A26" s="20">
        <v>19</v>
      </c>
      <c r="B26" s="21">
        <f t="shared" si="5"/>
        <v>22175614.706362307</v>
      </c>
      <c r="C26" s="21">
        <f t="shared" si="6"/>
        <v>260901.4497022827</v>
      </c>
      <c r="D26" s="21">
        <f t="shared" si="1"/>
        <v>166317.1102977173</v>
      </c>
      <c r="E26" s="21">
        <v>427218.56</v>
      </c>
      <c r="F26" s="21">
        <f t="shared" si="0"/>
        <v>21914713.256660026</v>
      </c>
      <c r="G26" s="4"/>
    </row>
    <row r="27" spans="1:13">
      <c r="A27" s="20">
        <v>20</v>
      </c>
      <c r="B27" s="21">
        <f t="shared" si="5"/>
        <v>21914713.256660026</v>
      </c>
      <c r="C27" s="21">
        <f t="shared" si="6"/>
        <v>262858.21057504986</v>
      </c>
      <c r="D27" s="21">
        <f t="shared" si="1"/>
        <v>164360.34942495017</v>
      </c>
      <c r="E27" s="21">
        <v>427218.56</v>
      </c>
      <c r="F27" s="21">
        <f t="shared" si="0"/>
        <v>21651855.046084974</v>
      </c>
      <c r="G27" s="4"/>
    </row>
    <row r="28" spans="1:13">
      <c r="A28" s="20">
        <v>21</v>
      </c>
      <c r="B28" s="21">
        <f t="shared" si="5"/>
        <v>21651855.046084974</v>
      </c>
      <c r="C28" s="21">
        <f t="shared" si="6"/>
        <v>264829.6471543627</v>
      </c>
      <c r="D28" s="21">
        <f t="shared" si="1"/>
        <v>162388.9128456373</v>
      </c>
      <c r="E28" s="21">
        <v>427218.56</v>
      </c>
      <c r="F28" s="21">
        <f t="shared" si="0"/>
        <v>21387025.398930613</v>
      </c>
      <c r="G28" s="4"/>
    </row>
    <row r="29" spans="1:13">
      <c r="A29" s="20">
        <v>22</v>
      </c>
      <c r="B29" s="21">
        <f t="shared" si="5"/>
        <v>21387025.398930613</v>
      </c>
      <c r="C29" s="21">
        <f t="shared" si="6"/>
        <v>266815.86950802041</v>
      </c>
      <c r="D29" s="21">
        <f t="shared" si="1"/>
        <v>160402.69049197959</v>
      </c>
      <c r="E29" s="21">
        <v>427218.56</v>
      </c>
      <c r="F29" s="21">
        <f t="shared" si="0"/>
        <v>21120209.529422592</v>
      </c>
      <c r="G29" s="4"/>
    </row>
    <row r="30" spans="1:13">
      <c r="A30" s="20">
        <v>23</v>
      </c>
      <c r="B30" s="21">
        <f t="shared" si="5"/>
        <v>21120209.529422592</v>
      </c>
      <c r="C30" s="21">
        <f t="shared" si="6"/>
        <v>268816.98852933059</v>
      </c>
      <c r="D30" s="21">
        <f t="shared" si="1"/>
        <v>158401.57147066944</v>
      </c>
      <c r="E30" s="21">
        <v>427218.56</v>
      </c>
      <c r="F30" s="21">
        <f t="shared" si="0"/>
        <v>20851392.54089326</v>
      </c>
      <c r="G30" s="4"/>
    </row>
    <row r="31" spans="1:13">
      <c r="A31" s="20">
        <v>24</v>
      </c>
      <c r="B31" s="21">
        <f t="shared" si="5"/>
        <v>20851392.54089326</v>
      </c>
      <c r="C31" s="21">
        <f t="shared" si="6"/>
        <v>270833.11594330054</v>
      </c>
      <c r="D31" s="21">
        <f t="shared" si="1"/>
        <v>156385.44405669943</v>
      </c>
      <c r="E31" s="21">
        <v>427218.56</v>
      </c>
      <c r="F31" s="21">
        <f t="shared" si="0"/>
        <v>20580559.424949959</v>
      </c>
      <c r="G31" s="4"/>
    </row>
    <row r="32" spans="1:13">
      <c r="A32" s="20">
        <v>25</v>
      </c>
      <c r="B32" s="21">
        <f t="shared" si="5"/>
        <v>20580559.424949959</v>
      </c>
      <c r="C32" s="21">
        <f t="shared" si="6"/>
        <v>272864.36431287532</v>
      </c>
      <c r="D32" s="21">
        <f t="shared" si="1"/>
        <v>154354.19568712468</v>
      </c>
      <c r="E32" s="21">
        <v>427218.56</v>
      </c>
      <c r="F32" s="21">
        <f t="shared" si="0"/>
        <v>20307695.060637083</v>
      </c>
      <c r="G32" s="4"/>
    </row>
    <row r="33" spans="1:7">
      <c r="A33" s="20">
        <v>26</v>
      </c>
      <c r="B33" s="21">
        <f t="shared" si="5"/>
        <v>20307695.060637083</v>
      </c>
      <c r="C33" s="21">
        <f t="shared" si="6"/>
        <v>274910.84704522189</v>
      </c>
      <c r="D33" s="21">
        <f t="shared" si="1"/>
        <v>152307.71295477811</v>
      </c>
      <c r="E33" s="21">
        <v>427218.56</v>
      </c>
      <c r="F33" s="21">
        <f t="shared" si="0"/>
        <v>20032784.213591862</v>
      </c>
      <c r="G33" s="4"/>
    </row>
    <row r="34" spans="1:7">
      <c r="A34" s="20">
        <v>27</v>
      </c>
      <c r="B34" s="21">
        <f t="shared" si="5"/>
        <v>20032784.213591862</v>
      </c>
      <c r="C34" s="21">
        <f t="shared" si="6"/>
        <v>276972.67839806108</v>
      </c>
      <c r="D34" s="21">
        <f t="shared" si="1"/>
        <v>150245.88160193895</v>
      </c>
      <c r="E34" s="21">
        <v>427218.56</v>
      </c>
      <c r="F34" s="21">
        <f t="shared" si="0"/>
        <v>19755811.535193801</v>
      </c>
      <c r="G34" s="4"/>
    </row>
    <row r="35" spans="1:7">
      <c r="A35" s="20">
        <v>28</v>
      </c>
      <c r="B35" s="21">
        <f t="shared" si="5"/>
        <v>19755811.535193801</v>
      </c>
      <c r="C35" s="21">
        <f t="shared" si="6"/>
        <v>279049.97348604654</v>
      </c>
      <c r="D35" s="21">
        <f t="shared" si="1"/>
        <v>148168.58651395349</v>
      </c>
      <c r="E35" s="21">
        <v>427218.56</v>
      </c>
      <c r="F35" s="21">
        <f t="shared" si="0"/>
        <v>19476761.561707754</v>
      </c>
      <c r="G35" s="4"/>
    </row>
    <row r="36" spans="1:7">
      <c r="A36" s="20">
        <v>29</v>
      </c>
      <c r="B36" s="21">
        <f t="shared" si="5"/>
        <v>19476761.561707754</v>
      </c>
      <c r="C36" s="21">
        <f t="shared" si="6"/>
        <v>281142.84828719182</v>
      </c>
      <c r="D36" s="21">
        <f t="shared" si="1"/>
        <v>146075.71171280814</v>
      </c>
      <c r="E36" s="21">
        <v>427218.56</v>
      </c>
      <c r="F36" s="21">
        <f t="shared" si="0"/>
        <v>19195618.713420562</v>
      </c>
      <c r="G36" s="4"/>
    </row>
    <row r="37" spans="1:7">
      <c r="A37" s="20">
        <v>30</v>
      </c>
      <c r="B37" s="21">
        <f t="shared" si="5"/>
        <v>19195618.713420562</v>
      </c>
      <c r="C37" s="21">
        <f t="shared" si="6"/>
        <v>283251.4196493458</v>
      </c>
      <c r="D37" s="21">
        <f t="shared" si="1"/>
        <v>143967.14035065423</v>
      </c>
      <c r="E37" s="21">
        <v>427218.56</v>
      </c>
      <c r="F37" s="21">
        <f t="shared" si="0"/>
        <v>18912367.293771215</v>
      </c>
      <c r="G37" s="4"/>
    </row>
    <row r="38" spans="1:7">
      <c r="A38" s="20">
        <v>31</v>
      </c>
      <c r="B38" s="21">
        <f t="shared" si="5"/>
        <v>18912367.293771215</v>
      </c>
      <c r="C38" s="21">
        <f t="shared" si="6"/>
        <v>285375.80529671593</v>
      </c>
      <c r="D38" s="21">
        <f t="shared" si="1"/>
        <v>141842.7547032841</v>
      </c>
      <c r="E38" s="21">
        <v>427218.56</v>
      </c>
      <c r="F38" s="21">
        <f t="shared" si="0"/>
        <v>18626991.488474499</v>
      </c>
      <c r="G38" s="4"/>
    </row>
    <row r="39" spans="1:7">
      <c r="A39" s="20">
        <v>32</v>
      </c>
      <c r="B39" s="21">
        <f t="shared" si="5"/>
        <v>18626991.488474499</v>
      </c>
      <c r="C39" s="21">
        <f t="shared" si="6"/>
        <v>287516.12383644126</v>
      </c>
      <c r="D39" s="21">
        <f t="shared" si="1"/>
        <v>139702.43616355874</v>
      </c>
      <c r="E39" s="21">
        <v>427218.56</v>
      </c>
      <c r="F39" s="21">
        <f t="shared" si="0"/>
        <v>18339475.364638057</v>
      </c>
      <c r="G39" s="4"/>
    </row>
    <row r="40" spans="1:7">
      <c r="A40" s="20">
        <v>33</v>
      </c>
      <c r="B40" s="21">
        <f t="shared" si="5"/>
        <v>18339475.364638057</v>
      </c>
      <c r="C40" s="21">
        <f t="shared" si="6"/>
        <v>289672.49476521462</v>
      </c>
      <c r="D40" s="21">
        <f t="shared" si="1"/>
        <v>137546.0652347854</v>
      </c>
      <c r="E40" s="21">
        <v>427218.56</v>
      </c>
      <c r="F40" s="21">
        <f t="shared" si="0"/>
        <v>18049802.869872842</v>
      </c>
      <c r="G40" s="4"/>
    </row>
    <row r="41" spans="1:7">
      <c r="A41" s="20">
        <v>34</v>
      </c>
      <c r="B41" s="21">
        <f t="shared" si="5"/>
        <v>18049802.869872842</v>
      </c>
      <c r="C41" s="21">
        <f t="shared" si="6"/>
        <v>291845.03847595368</v>
      </c>
      <c r="D41" s="21">
        <f t="shared" si="1"/>
        <v>135373.52152404631</v>
      </c>
      <c r="E41" s="21">
        <v>427218.56</v>
      </c>
      <c r="F41" s="21">
        <f t="shared" si="0"/>
        <v>17757957.831396889</v>
      </c>
      <c r="G41" s="4"/>
    </row>
    <row r="42" spans="1:7">
      <c r="A42" s="20">
        <v>35</v>
      </c>
      <c r="B42" s="21">
        <f t="shared" si="5"/>
        <v>17757957.831396889</v>
      </c>
      <c r="C42" s="21">
        <f t="shared" si="6"/>
        <v>294033.87626452337</v>
      </c>
      <c r="D42" s="21">
        <f t="shared" si="1"/>
        <v>133184.68373547666</v>
      </c>
      <c r="E42" s="21">
        <v>427218.56</v>
      </c>
      <c r="F42" s="21">
        <f t="shared" si="0"/>
        <v>17463923.955132365</v>
      </c>
      <c r="G42" s="4"/>
    </row>
    <row r="43" spans="1:7">
      <c r="A43" s="20">
        <v>36</v>
      </c>
      <c r="B43" s="21">
        <f t="shared" si="5"/>
        <v>17463923.955132365</v>
      </c>
      <c r="C43" s="21">
        <f t="shared" si="6"/>
        <v>296239.13033650728</v>
      </c>
      <c r="D43" s="21">
        <f t="shared" si="1"/>
        <v>130979.42966349273</v>
      </c>
      <c r="E43" s="21">
        <v>427218.56</v>
      </c>
      <c r="F43" s="21">
        <f t="shared" si="0"/>
        <v>17167684.824795857</v>
      </c>
      <c r="G43" s="4"/>
    </row>
    <row r="44" spans="1:7">
      <c r="A44" s="20">
        <v>37</v>
      </c>
      <c r="B44" s="21">
        <f t="shared" si="5"/>
        <v>17167684.824795857</v>
      </c>
      <c r="C44" s="21">
        <f t="shared" si="6"/>
        <v>298460.92381403106</v>
      </c>
      <c r="D44" s="21">
        <f t="shared" si="1"/>
        <v>128757.63618596892</v>
      </c>
      <c r="E44" s="21">
        <v>427218.56</v>
      </c>
      <c r="F44" s="21">
        <f t="shared" si="0"/>
        <v>16869223.900981825</v>
      </c>
      <c r="G44" s="4"/>
    </row>
    <row r="45" spans="1:7">
      <c r="A45" s="20">
        <v>38</v>
      </c>
      <c r="B45" s="21">
        <f t="shared" si="5"/>
        <v>16869223.900981825</v>
      </c>
      <c r="C45" s="21">
        <f t="shared" si="6"/>
        <v>300699.38074263633</v>
      </c>
      <c r="D45" s="21">
        <f t="shared" si="1"/>
        <v>126519.17925736368</v>
      </c>
      <c r="E45" s="21">
        <v>427218.56</v>
      </c>
      <c r="F45" s="21">
        <f t="shared" si="0"/>
        <v>16568524.520239189</v>
      </c>
      <c r="G45" s="4"/>
    </row>
    <row r="46" spans="1:7">
      <c r="A46" s="20">
        <v>39</v>
      </c>
      <c r="B46" s="21">
        <f t="shared" si="5"/>
        <v>16568524.520239189</v>
      </c>
      <c r="C46" s="21">
        <f t="shared" si="6"/>
        <v>302954.62609820609</v>
      </c>
      <c r="D46" s="21">
        <f t="shared" si="1"/>
        <v>124263.93390179391</v>
      </c>
      <c r="E46" s="21">
        <v>427218.56</v>
      </c>
      <c r="F46" s="21">
        <f t="shared" si="0"/>
        <v>16265569.894140983</v>
      </c>
      <c r="G46" s="4"/>
    </row>
    <row r="47" spans="1:7">
      <c r="A47" s="20">
        <v>40</v>
      </c>
      <c r="B47" s="21">
        <f t="shared" si="5"/>
        <v>16265569.894140983</v>
      </c>
      <c r="C47" s="21">
        <f t="shared" si="6"/>
        <v>305226.78579394263</v>
      </c>
      <c r="D47" s="21">
        <f t="shared" si="1"/>
        <v>121991.77420605737</v>
      </c>
      <c r="E47" s="21">
        <v>427218.56</v>
      </c>
      <c r="F47" s="21">
        <f t="shared" si="0"/>
        <v>15960343.10834704</v>
      </c>
      <c r="G47" s="4"/>
    </row>
    <row r="48" spans="1:7">
      <c r="A48" s="20">
        <v>41</v>
      </c>
      <c r="B48" s="21">
        <f t="shared" si="5"/>
        <v>15960343.10834704</v>
      </c>
      <c r="C48" s="21">
        <f t="shared" si="6"/>
        <v>307515.98668739718</v>
      </c>
      <c r="D48" s="21">
        <f t="shared" si="1"/>
        <v>119702.57331260281</v>
      </c>
      <c r="E48" s="21">
        <v>427218.56</v>
      </c>
      <c r="F48" s="21">
        <f t="shared" si="0"/>
        <v>15652827.121659642</v>
      </c>
      <c r="G48" s="4"/>
    </row>
    <row r="49" spans="1:7">
      <c r="A49" s="20">
        <v>42</v>
      </c>
      <c r="B49" s="21">
        <f t="shared" si="5"/>
        <v>15652827.121659642</v>
      </c>
      <c r="C49" s="21">
        <f t="shared" si="6"/>
        <v>309822.3565875527</v>
      </c>
      <c r="D49" s="21">
        <f t="shared" si="1"/>
        <v>117396.20341244731</v>
      </c>
      <c r="E49" s="21">
        <v>427218.56</v>
      </c>
      <c r="F49" s="21">
        <f t="shared" si="0"/>
        <v>15343004.765072089</v>
      </c>
      <c r="G49" s="4"/>
    </row>
    <row r="50" spans="1:7">
      <c r="A50" s="20">
        <v>43</v>
      </c>
      <c r="B50" s="21">
        <f t="shared" si="5"/>
        <v>15343004.765072089</v>
      </c>
      <c r="C50" s="21">
        <f t="shared" si="6"/>
        <v>312146.02426195936</v>
      </c>
      <c r="D50" s="21">
        <f t="shared" si="1"/>
        <v>115072.53573804065</v>
      </c>
      <c r="E50" s="21">
        <v>427218.56</v>
      </c>
      <c r="F50" s="21">
        <f t="shared" si="0"/>
        <v>15030858.74081013</v>
      </c>
      <c r="G50" s="4"/>
    </row>
    <row r="51" spans="1:7">
      <c r="A51" s="20">
        <v>44</v>
      </c>
      <c r="B51" s="21">
        <f t="shared" si="5"/>
        <v>15030858.74081013</v>
      </c>
      <c r="C51" s="21">
        <f t="shared" si="6"/>
        <v>314487.11944392405</v>
      </c>
      <c r="D51" s="21">
        <f t="shared" si="1"/>
        <v>112731.44055607596</v>
      </c>
      <c r="E51" s="21">
        <v>427218.56</v>
      </c>
      <c r="F51" s="21">
        <f t="shared" si="0"/>
        <v>14716371.621366207</v>
      </c>
      <c r="G51" s="4"/>
    </row>
    <row r="52" spans="1:7">
      <c r="A52" s="20">
        <v>45</v>
      </c>
      <c r="B52" s="21">
        <f t="shared" si="5"/>
        <v>14716371.621366207</v>
      </c>
      <c r="C52" s="21">
        <f t="shared" si="6"/>
        <v>316845.77283975348</v>
      </c>
      <c r="D52" s="21">
        <f t="shared" si="1"/>
        <v>110372.78716024653</v>
      </c>
      <c r="E52" s="21">
        <v>427218.56</v>
      </c>
      <c r="F52" s="21">
        <f t="shared" si="0"/>
        <v>14399525.848526454</v>
      </c>
      <c r="G52" s="4"/>
    </row>
    <row r="53" spans="1:7">
      <c r="A53" s="20">
        <v>46</v>
      </c>
      <c r="B53" s="21">
        <f t="shared" si="5"/>
        <v>14399525.848526454</v>
      </c>
      <c r="C53" s="21">
        <f t="shared" si="6"/>
        <v>319222.1161360516</v>
      </c>
      <c r="D53" s="21">
        <f t="shared" si="1"/>
        <v>107996.4438639484</v>
      </c>
      <c r="E53" s="21">
        <v>427218.56</v>
      </c>
      <c r="F53" s="21">
        <f t="shared" si="0"/>
        <v>14080303.732390402</v>
      </c>
      <c r="G53" s="4"/>
    </row>
    <row r="54" spans="1:7">
      <c r="A54" s="20">
        <v>47</v>
      </c>
      <c r="B54" s="21">
        <f t="shared" si="5"/>
        <v>14080303.732390402</v>
      </c>
      <c r="C54" s="21">
        <f t="shared" si="6"/>
        <v>321616.282007072</v>
      </c>
      <c r="D54" s="21">
        <f t="shared" si="1"/>
        <v>105602.27799292801</v>
      </c>
      <c r="E54" s="21">
        <v>427218.56</v>
      </c>
      <c r="F54" s="21">
        <f t="shared" si="0"/>
        <v>13758687.45038333</v>
      </c>
      <c r="G54" s="4"/>
    </row>
    <row r="55" spans="1:7">
      <c r="A55" s="20">
        <v>48</v>
      </c>
      <c r="B55" s="21">
        <f t="shared" si="5"/>
        <v>13758687.45038333</v>
      </c>
      <c r="C55" s="21">
        <f t="shared" si="6"/>
        <v>324028.40412212501</v>
      </c>
      <c r="D55" s="21">
        <f t="shared" si="1"/>
        <v>103190.15587787497</v>
      </c>
      <c r="E55" s="21">
        <v>427218.56</v>
      </c>
      <c r="F55" s="21">
        <f t="shared" si="0"/>
        <v>13434659.046261204</v>
      </c>
      <c r="G55" s="4"/>
    </row>
    <row r="56" spans="1:7">
      <c r="A56" s="20">
        <v>49</v>
      </c>
      <c r="B56" s="21">
        <f t="shared" si="5"/>
        <v>13434659.046261204</v>
      </c>
      <c r="C56" s="21">
        <f t="shared" si="6"/>
        <v>326458.61715304095</v>
      </c>
      <c r="D56" s="21">
        <f t="shared" si="1"/>
        <v>100759.94284695903</v>
      </c>
      <c r="E56" s="21">
        <v>427218.56</v>
      </c>
      <c r="F56" s="21">
        <f t="shared" si="0"/>
        <v>13108200.429108163</v>
      </c>
      <c r="G56" s="4"/>
    </row>
    <row r="57" spans="1:7">
      <c r="A57" s="20">
        <v>50</v>
      </c>
      <c r="B57" s="21">
        <f t="shared" si="5"/>
        <v>13108200.429108163</v>
      </c>
      <c r="C57" s="21">
        <f t="shared" si="6"/>
        <v>328907.05678168876</v>
      </c>
      <c r="D57" s="21">
        <f t="shared" si="1"/>
        <v>98311.50321831122</v>
      </c>
      <c r="E57" s="21">
        <v>427218.56</v>
      </c>
      <c r="F57" s="21">
        <f t="shared" si="0"/>
        <v>12779293.372326475</v>
      </c>
      <c r="G57" s="4"/>
    </row>
    <row r="58" spans="1:7">
      <c r="A58" s="20">
        <v>51</v>
      </c>
      <c r="B58" s="21">
        <f t="shared" si="5"/>
        <v>12779293.372326475</v>
      </c>
      <c r="C58" s="21">
        <f t="shared" si="6"/>
        <v>331373.85970755143</v>
      </c>
      <c r="D58" s="21">
        <f t="shared" si="1"/>
        <v>95844.700292448557</v>
      </c>
      <c r="E58" s="21">
        <v>427218.56</v>
      </c>
      <c r="F58" s="21">
        <f t="shared" si="0"/>
        <v>12447919.512618924</v>
      </c>
      <c r="G58" s="4"/>
    </row>
    <row r="59" spans="1:7">
      <c r="A59" s="20">
        <v>52</v>
      </c>
      <c r="B59" s="21">
        <f t="shared" si="5"/>
        <v>12447919.512618924</v>
      </c>
      <c r="C59" s="21">
        <f t="shared" si="6"/>
        <v>333859.16365535808</v>
      </c>
      <c r="D59" s="21">
        <f t="shared" si="1"/>
        <v>93359.396344641922</v>
      </c>
      <c r="E59" s="21">
        <v>427218.56</v>
      </c>
      <c r="F59" s="21">
        <f t="shared" si="0"/>
        <v>12114060.348963566</v>
      </c>
      <c r="G59" s="4"/>
    </row>
    <row r="60" spans="1:7">
      <c r="A60" s="20">
        <v>53</v>
      </c>
      <c r="B60" s="21">
        <f t="shared" si="5"/>
        <v>12114060.348963566</v>
      </c>
      <c r="C60" s="21">
        <f t="shared" si="6"/>
        <v>336363.10738277325</v>
      </c>
      <c r="D60" s="21">
        <f t="shared" si="1"/>
        <v>90855.452617226751</v>
      </c>
      <c r="E60" s="21">
        <v>427218.56</v>
      </c>
      <c r="F60" s="21">
        <f t="shared" si="0"/>
        <v>11777697.241580794</v>
      </c>
      <c r="G60" s="4"/>
    </row>
    <row r="61" spans="1:7">
      <c r="A61" s="20">
        <v>54</v>
      </c>
      <c r="B61" s="21">
        <f t="shared" si="5"/>
        <v>11777697.241580794</v>
      </c>
      <c r="C61" s="21">
        <f t="shared" si="6"/>
        <v>338885.83068814402</v>
      </c>
      <c r="D61" s="21">
        <f t="shared" si="1"/>
        <v>88332.729311855961</v>
      </c>
      <c r="E61" s="21">
        <v>427218.56</v>
      </c>
      <c r="F61" s="21">
        <f t="shared" si="0"/>
        <v>11438811.41089265</v>
      </c>
      <c r="G61" s="4"/>
    </row>
    <row r="62" spans="1:7">
      <c r="A62" s="20">
        <v>55</v>
      </c>
      <c r="B62" s="21">
        <f t="shared" si="5"/>
        <v>11438811.41089265</v>
      </c>
      <c r="C62" s="21">
        <f t="shared" si="6"/>
        <v>341427.47441830509</v>
      </c>
      <c r="D62" s="21">
        <f t="shared" si="1"/>
        <v>85791.085581694875</v>
      </c>
      <c r="E62" s="21">
        <v>427218.56</v>
      </c>
      <c r="F62" s="21">
        <f t="shared" si="0"/>
        <v>11097383.936474346</v>
      </c>
      <c r="G62" s="4"/>
    </row>
    <row r="63" spans="1:7">
      <c r="A63" s="20">
        <v>56</v>
      </c>
      <c r="B63" s="21">
        <f t="shared" si="5"/>
        <v>11097383.936474346</v>
      </c>
      <c r="C63" s="21">
        <f t="shared" si="6"/>
        <v>343988.18047644239</v>
      </c>
      <c r="D63" s="21">
        <f t="shared" si="1"/>
        <v>83230.379523557596</v>
      </c>
      <c r="E63" s="21">
        <v>427218.56</v>
      </c>
      <c r="F63" s="21">
        <f t="shared" si="0"/>
        <v>10753395.755997904</v>
      </c>
      <c r="G63" s="4"/>
    </row>
    <row r="64" spans="1:7">
      <c r="A64" s="20">
        <v>57</v>
      </c>
      <c r="B64" s="21">
        <f t="shared" si="5"/>
        <v>10753395.755997904</v>
      </c>
      <c r="C64" s="21">
        <f t="shared" si="6"/>
        <v>346568.09183001571</v>
      </c>
      <c r="D64" s="21">
        <f t="shared" si="1"/>
        <v>80650.468169984277</v>
      </c>
      <c r="E64" s="21">
        <v>427218.56</v>
      </c>
      <c r="F64" s="21">
        <f t="shared" si="0"/>
        <v>10406827.664167888</v>
      </c>
      <c r="G64" s="4"/>
    </row>
    <row r="65" spans="1:7">
      <c r="A65" s="20">
        <v>58</v>
      </c>
      <c r="B65" s="21">
        <f t="shared" ref="B65:B76" si="8">F64</f>
        <v>10406827.664167888</v>
      </c>
      <c r="C65" s="21">
        <f t="shared" si="6"/>
        <v>349167.35251874081</v>
      </c>
      <c r="D65" s="21">
        <f t="shared" si="1"/>
        <v>78051.20748125916</v>
      </c>
      <c r="E65" s="21">
        <v>427218.56</v>
      </c>
      <c r="F65" s="21">
        <f t="shared" ref="F65:F76" si="9">B65-C65</f>
        <v>10057660.311649147</v>
      </c>
      <c r="G65" s="4"/>
    </row>
    <row r="66" spans="1:7">
      <c r="A66" s="20">
        <v>59</v>
      </c>
      <c r="B66" s="21">
        <f t="shared" si="8"/>
        <v>10057660.311649147</v>
      </c>
      <c r="C66" s="21">
        <f t="shared" si="6"/>
        <v>351786.10766263137</v>
      </c>
      <c r="D66" s="21">
        <f t="shared" si="1"/>
        <v>75432.45233736861</v>
      </c>
      <c r="E66" s="21">
        <v>427218.56</v>
      </c>
      <c r="F66" s="21">
        <f t="shared" si="9"/>
        <v>9705874.2039865162</v>
      </c>
      <c r="G66" s="4"/>
    </row>
    <row r="67" spans="1:7">
      <c r="A67" s="20">
        <v>60</v>
      </c>
      <c r="B67" s="21">
        <f t="shared" si="8"/>
        <v>9705874.2039865162</v>
      </c>
      <c r="C67" s="21">
        <f t="shared" si="6"/>
        <v>354424.50347010116</v>
      </c>
      <c r="D67" s="21">
        <f t="shared" si="1"/>
        <v>72794.056529898866</v>
      </c>
      <c r="E67" s="21">
        <v>427218.56</v>
      </c>
      <c r="F67" s="21">
        <f t="shared" si="9"/>
        <v>9351449.7005164158</v>
      </c>
      <c r="G67" s="4"/>
    </row>
    <row r="68" spans="1:7">
      <c r="A68" s="20">
        <v>61</v>
      </c>
      <c r="B68" s="21">
        <f t="shared" si="8"/>
        <v>9351449.7005164158</v>
      </c>
      <c r="C68" s="21">
        <f t="shared" si="6"/>
        <v>357082.68724612688</v>
      </c>
      <c r="D68" s="21">
        <f t="shared" si="1"/>
        <v>70135.872753873118</v>
      </c>
      <c r="E68" s="21">
        <v>427218.56</v>
      </c>
      <c r="F68" s="21">
        <f t="shared" si="9"/>
        <v>8994367.0132702887</v>
      </c>
      <c r="G68" s="4"/>
    </row>
    <row r="69" spans="1:7">
      <c r="A69" s="20">
        <v>62</v>
      </c>
      <c r="B69" s="21">
        <f t="shared" si="8"/>
        <v>8994367.0132702887</v>
      </c>
      <c r="C69" s="21">
        <f t="shared" si="6"/>
        <v>359760.80740047281</v>
      </c>
      <c r="D69" s="21">
        <f t="shared" si="1"/>
        <v>67457.752599527172</v>
      </c>
      <c r="E69" s="21">
        <v>427218.56</v>
      </c>
      <c r="F69" s="21">
        <f t="shared" si="9"/>
        <v>8634606.2058698162</v>
      </c>
      <c r="G69" s="4"/>
    </row>
    <row r="70" spans="1:7">
      <c r="A70" s="20">
        <v>63</v>
      </c>
      <c r="B70" s="21">
        <f t="shared" si="8"/>
        <v>8634606.2058698162</v>
      </c>
      <c r="C70" s="21">
        <f t="shared" si="6"/>
        <v>362459.01345597638</v>
      </c>
      <c r="D70" s="21">
        <f t="shared" si="1"/>
        <v>64759.546544023615</v>
      </c>
      <c r="E70" s="21">
        <v>427218.56</v>
      </c>
      <c r="F70" s="21">
        <f t="shared" si="9"/>
        <v>8272147.1924138395</v>
      </c>
      <c r="G70" s="4"/>
    </row>
    <row r="71" spans="1:7">
      <c r="A71" s="20">
        <v>64</v>
      </c>
      <c r="B71" s="21">
        <f t="shared" si="8"/>
        <v>8272147.1924138395</v>
      </c>
      <c r="C71" s="21">
        <f t="shared" si="6"/>
        <v>365177.45605689619</v>
      </c>
      <c r="D71" s="21">
        <f t="shared" si="1"/>
        <v>62041.103943103801</v>
      </c>
      <c r="E71" s="21">
        <v>427218.56</v>
      </c>
      <c r="F71" s="21">
        <f t="shared" si="9"/>
        <v>7906969.7363569429</v>
      </c>
      <c r="G71" s="4"/>
    </row>
    <row r="72" spans="1:7">
      <c r="A72" s="20">
        <v>65</v>
      </c>
      <c r="B72" s="21">
        <f t="shared" si="8"/>
        <v>7906969.7363569429</v>
      </c>
      <c r="C72" s="21">
        <f t="shared" si="6"/>
        <v>367916.28697732295</v>
      </c>
      <c r="D72" s="21">
        <f t="shared" si="1"/>
        <v>59302.273022677073</v>
      </c>
      <c r="E72" s="21">
        <v>427218.56</v>
      </c>
      <c r="F72" s="21">
        <f t="shared" si="9"/>
        <v>7539053.4493796201</v>
      </c>
      <c r="G72" s="4"/>
    </row>
    <row r="73" spans="1:7">
      <c r="A73" s="20">
        <v>66</v>
      </c>
      <c r="B73" s="21">
        <f t="shared" si="8"/>
        <v>7539053.4493796201</v>
      </c>
      <c r="C73" s="21">
        <f t="shared" si="6"/>
        <v>370675.65912965283</v>
      </c>
      <c r="D73" s="21">
        <f t="shared" ref="D73:D91" si="10">B73*9%/12</f>
        <v>56542.900870347155</v>
      </c>
      <c r="E73" s="21">
        <v>427218.56</v>
      </c>
      <c r="F73" s="21">
        <f t="shared" si="9"/>
        <v>7168377.790249967</v>
      </c>
      <c r="G73" s="4"/>
    </row>
    <row r="74" spans="1:7">
      <c r="A74" s="20">
        <v>67</v>
      </c>
      <c r="B74" s="21">
        <f t="shared" si="8"/>
        <v>7168377.790249967</v>
      </c>
      <c r="C74" s="21">
        <f t="shared" si="6"/>
        <v>373455.72657312523</v>
      </c>
      <c r="D74" s="21">
        <f t="shared" si="10"/>
        <v>53762.833426874749</v>
      </c>
      <c r="E74" s="21">
        <v>427218.56</v>
      </c>
      <c r="F74" s="21">
        <f t="shared" si="9"/>
        <v>6794922.0636768416</v>
      </c>
      <c r="G74" s="4"/>
    </row>
    <row r="75" spans="1:7">
      <c r="A75" s="20">
        <v>68</v>
      </c>
      <c r="B75" s="21">
        <f t="shared" si="8"/>
        <v>6794922.0636768416</v>
      </c>
      <c r="C75" s="21">
        <f t="shared" si="6"/>
        <v>376256.64452242368</v>
      </c>
      <c r="D75" s="21">
        <f t="shared" si="10"/>
        <v>50961.915477576309</v>
      </c>
      <c r="E75" s="21">
        <v>427218.56</v>
      </c>
      <c r="F75" s="21">
        <f t="shared" si="9"/>
        <v>6418665.4191544177</v>
      </c>
      <c r="G75" s="4"/>
    </row>
    <row r="76" spans="1:7">
      <c r="A76" s="20">
        <v>69</v>
      </c>
      <c r="B76" s="21">
        <f t="shared" si="8"/>
        <v>6418665.4191544177</v>
      </c>
      <c r="C76" s="21">
        <f t="shared" si="6"/>
        <v>379078.56935634185</v>
      </c>
      <c r="D76" s="21">
        <f t="shared" si="10"/>
        <v>48139.99064365813</v>
      </c>
      <c r="E76" s="21">
        <v>427218.56</v>
      </c>
      <c r="F76" s="21">
        <f t="shared" si="9"/>
        <v>6039586.8497980759</v>
      </c>
      <c r="G76" s="4"/>
    </row>
    <row r="77" spans="1:7">
      <c r="A77" s="20">
        <v>70</v>
      </c>
      <c r="B77" s="21">
        <f t="shared" ref="B77:B91" si="11">F76</f>
        <v>6039586.8497980759</v>
      </c>
      <c r="C77" s="21">
        <f t="shared" si="6"/>
        <v>381921.65862651443</v>
      </c>
      <c r="D77" s="21">
        <f t="shared" si="10"/>
        <v>45296.901373485569</v>
      </c>
      <c r="E77" s="21">
        <v>427218.56</v>
      </c>
      <c r="F77" s="21">
        <f t="shared" ref="F77:F91" si="12">B77-C77</f>
        <v>5657665.1911715614</v>
      </c>
      <c r="G77" s="4"/>
    </row>
    <row r="78" spans="1:7">
      <c r="A78" s="20">
        <v>71</v>
      </c>
      <c r="B78" s="21">
        <f t="shared" si="11"/>
        <v>5657665.1911715614</v>
      </c>
      <c r="C78" s="21">
        <f t="shared" si="6"/>
        <v>384786.07106621331</v>
      </c>
      <c r="D78" s="21">
        <f t="shared" si="10"/>
        <v>42432.488933786713</v>
      </c>
      <c r="E78" s="21">
        <v>427218.56</v>
      </c>
      <c r="F78" s="21">
        <f t="shared" si="12"/>
        <v>5272879.1201053485</v>
      </c>
      <c r="G78" s="4"/>
    </row>
    <row r="79" spans="1:7">
      <c r="A79" s="20">
        <v>72</v>
      </c>
      <c r="B79" s="21">
        <f t="shared" si="11"/>
        <v>5272879.1201053485</v>
      </c>
      <c r="C79" s="21">
        <f t="shared" ref="C79:C91" si="13">E79-D79</f>
        <v>387671.96659920987</v>
      </c>
      <c r="D79" s="21">
        <f t="shared" si="10"/>
        <v>39546.593400790116</v>
      </c>
      <c r="E79" s="21">
        <v>427218.56</v>
      </c>
      <c r="F79" s="21">
        <f t="shared" si="12"/>
        <v>4885207.1535061384</v>
      </c>
      <c r="G79" s="4"/>
    </row>
    <row r="80" spans="1:7">
      <c r="A80" s="20">
        <v>73</v>
      </c>
      <c r="B80" s="21">
        <f t="shared" si="11"/>
        <v>4885207.1535061384</v>
      </c>
      <c r="C80" s="21">
        <f t="shared" si="13"/>
        <v>390579.50634870399</v>
      </c>
      <c r="D80" s="21">
        <f t="shared" si="10"/>
        <v>36639.053651296032</v>
      </c>
      <c r="E80" s="21">
        <v>427218.56</v>
      </c>
      <c r="F80" s="21">
        <f t="shared" si="12"/>
        <v>4494627.6471574344</v>
      </c>
      <c r="G80" s="4"/>
    </row>
    <row r="81" spans="1:7">
      <c r="A81" s="20">
        <v>74</v>
      </c>
      <c r="B81" s="21">
        <f t="shared" si="11"/>
        <v>4494627.6471574344</v>
      </c>
      <c r="C81" s="21">
        <f t="shared" si="13"/>
        <v>393508.85264631925</v>
      </c>
      <c r="D81" s="21">
        <f t="shared" si="10"/>
        <v>33709.707353680758</v>
      </c>
      <c r="E81" s="21">
        <v>427218.56</v>
      </c>
      <c r="F81" s="21">
        <f t="shared" si="12"/>
        <v>4101118.7945111152</v>
      </c>
      <c r="G81" s="4"/>
    </row>
    <row r="82" spans="1:7">
      <c r="A82" s="20">
        <v>75</v>
      </c>
      <c r="B82" s="21">
        <f t="shared" si="11"/>
        <v>4101118.7945111152</v>
      </c>
      <c r="C82" s="21">
        <f t="shared" si="13"/>
        <v>396460.16904116666</v>
      </c>
      <c r="D82" s="21">
        <f t="shared" si="10"/>
        <v>30758.390958833363</v>
      </c>
      <c r="E82" s="21">
        <v>427218.56</v>
      </c>
      <c r="F82" s="21">
        <f t="shared" si="12"/>
        <v>3704658.6254699486</v>
      </c>
      <c r="G82" s="4"/>
    </row>
    <row r="83" spans="1:7">
      <c r="A83" s="20">
        <v>76</v>
      </c>
      <c r="B83" s="21">
        <f t="shared" si="11"/>
        <v>3704658.6254699486</v>
      </c>
      <c r="C83" s="21">
        <f t="shared" si="13"/>
        <v>399433.6203089754</v>
      </c>
      <c r="D83" s="21">
        <f t="shared" si="10"/>
        <v>27784.939691024614</v>
      </c>
      <c r="E83" s="21">
        <v>427218.56</v>
      </c>
      <c r="F83" s="21">
        <f t="shared" si="12"/>
        <v>3305225.0051609734</v>
      </c>
      <c r="G83" s="4"/>
    </row>
    <row r="84" spans="1:7">
      <c r="A84" s="20">
        <v>77</v>
      </c>
      <c r="B84" s="21">
        <f t="shared" si="11"/>
        <v>3305225.0051609734</v>
      </c>
      <c r="C84" s="21">
        <f t="shared" si="13"/>
        <v>402429.37246129272</v>
      </c>
      <c r="D84" s="21">
        <f t="shared" si="10"/>
        <v>24789.187538707298</v>
      </c>
      <c r="E84" s="21">
        <v>427218.56</v>
      </c>
      <c r="F84" s="21">
        <f t="shared" si="12"/>
        <v>2902795.6326996805</v>
      </c>
      <c r="G84" s="4"/>
    </row>
    <row r="85" spans="1:7">
      <c r="A85" s="20">
        <v>78</v>
      </c>
      <c r="B85" s="21">
        <f t="shared" si="11"/>
        <v>2902795.6326996805</v>
      </c>
      <c r="C85" s="21">
        <f t="shared" si="13"/>
        <v>405447.59275475238</v>
      </c>
      <c r="D85" s="21">
        <f t="shared" si="10"/>
        <v>21770.967245247604</v>
      </c>
      <c r="E85" s="21">
        <v>427218.56</v>
      </c>
      <c r="F85" s="21">
        <f t="shared" si="12"/>
        <v>2497348.0399449281</v>
      </c>
      <c r="G85" s="4"/>
    </row>
    <row r="86" spans="1:7">
      <c r="A86" s="20">
        <v>79</v>
      </c>
      <c r="B86" s="21">
        <f t="shared" si="11"/>
        <v>2497348.0399449281</v>
      </c>
      <c r="C86" s="21">
        <f t="shared" si="13"/>
        <v>408488.44970041304</v>
      </c>
      <c r="D86" s="21">
        <f t="shared" si="10"/>
        <v>18730.110299586962</v>
      </c>
      <c r="E86" s="21">
        <v>427218.56</v>
      </c>
      <c r="F86" s="21">
        <f t="shared" si="12"/>
        <v>2088859.5902445151</v>
      </c>
      <c r="G86" s="4"/>
    </row>
    <row r="87" spans="1:7">
      <c r="A87" s="20">
        <v>80</v>
      </c>
      <c r="B87" s="21">
        <f t="shared" si="11"/>
        <v>2088859.5902445151</v>
      </c>
      <c r="C87" s="21">
        <f t="shared" si="13"/>
        <v>411552.11307316611</v>
      </c>
      <c r="D87" s="21">
        <f t="shared" si="10"/>
        <v>15666.446926833863</v>
      </c>
      <c r="E87" s="21">
        <v>427218.56</v>
      </c>
      <c r="F87" s="21">
        <f t="shared" si="12"/>
        <v>1677307.4771713489</v>
      </c>
      <c r="G87" s="4"/>
    </row>
    <row r="88" spans="1:7">
      <c r="A88" s="20">
        <v>81</v>
      </c>
      <c r="B88" s="21">
        <f t="shared" si="11"/>
        <v>1677307.4771713489</v>
      </c>
      <c r="C88" s="21">
        <f t="shared" si="13"/>
        <v>414638.7539212149</v>
      </c>
      <c r="D88" s="21">
        <f t="shared" si="10"/>
        <v>12579.806078785115</v>
      </c>
      <c r="E88" s="21">
        <v>427218.56</v>
      </c>
      <c r="F88" s="21">
        <f t="shared" si="12"/>
        <v>1262668.7232501339</v>
      </c>
      <c r="G88" s="4"/>
    </row>
    <row r="89" spans="1:7">
      <c r="A89" s="20">
        <v>82</v>
      </c>
      <c r="B89" s="21">
        <f t="shared" si="11"/>
        <v>1262668.7232501339</v>
      </c>
      <c r="C89" s="21">
        <f t="shared" si="13"/>
        <v>417748.54457562399</v>
      </c>
      <c r="D89" s="21">
        <f t="shared" si="10"/>
        <v>9470.0154243760044</v>
      </c>
      <c r="E89" s="21">
        <v>427218.56</v>
      </c>
      <c r="F89" s="21">
        <f t="shared" si="12"/>
        <v>844920.17867450998</v>
      </c>
      <c r="G89" s="4"/>
    </row>
    <row r="90" spans="1:7">
      <c r="A90" s="20">
        <v>83</v>
      </c>
      <c r="B90" s="21">
        <f t="shared" si="11"/>
        <v>844920.17867450998</v>
      </c>
      <c r="C90" s="21">
        <f t="shared" si="13"/>
        <v>420881.65865994117</v>
      </c>
      <c r="D90" s="21">
        <f t="shared" si="10"/>
        <v>6336.9013400588237</v>
      </c>
      <c r="E90" s="21">
        <v>427218.56</v>
      </c>
      <c r="F90" s="21">
        <f t="shared" si="12"/>
        <v>424038.52001456881</v>
      </c>
      <c r="G90" s="4"/>
    </row>
    <row r="91" spans="1:7">
      <c r="A91" s="20">
        <v>84</v>
      </c>
      <c r="B91" s="21">
        <f t="shared" si="11"/>
        <v>424038.52001456881</v>
      </c>
      <c r="C91" s="21">
        <f t="shared" si="13"/>
        <v>424038.29609989078</v>
      </c>
      <c r="D91" s="21">
        <f t="shared" si="10"/>
        <v>3180.2889001092663</v>
      </c>
      <c r="E91" s="21">
        <f>427218.56+0.025</f>
        <v>427218.58500000002</v>
      </c>
      <c r="F91" s="21">
        <f t="shared" si="12"/>
        <v>0.22391467803390697</v>
      </c>
      <c r="G91" s="4"/>
    </row>
    <row r="92" spans="1:7">
      <c r="B92" s="6" t="s">
        <v>78</v>
      </c>
      <c r="C92" s="24">
        <f>SUM(C8:C91)</f>
        <v>25158999.776085332</v>
      </c>
      <c r="D92" s="24">
        <f>SUM(D8:D91)</f>
        <v>9296202.9289146718</v>
      </c>
    </row>
  </sheetData>
  <mergeCells count="6">
    <mergeCell ref="A1:F1"/>
    <mergeCell ref="I6:M6"/>
    <mergeCell ref="A2:F2"/>
    <mergeCell ref="B3:F3"/>
    <mergeCell ref="B4:F4"/>
    <mergeCell ref="B5:F5"/>
  </mergeCells>
  <pageMargins left="0.23622047244094491" right="0.23622047244094491" top="0.74803149606299213" bottom="0.74803149606299213" header="0.31496062992125984" footer="0.31496062992125984"/>
  <pageSetup scale="83" orientation="portrait" r:id="rId1"/>
  <rowBreaks count="1" manualBreakCount="1">
    <brk id="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view="pageBreakPreview" zoomScaleNormal="100" zoomScaleSheetLayoutView="100" workbookViewId="0">
      <selection activeCell="K20" sqref="K20"/>
    </sheetView>
  </sheetViews>
  <sheetFormatPr defaultRowHeight="13.2"/>
  <cols>
    <col min="1" max="1" width="7.33203125" bestFit="1" customWidth="1"/>
    <col min="2" max="2" width="12.33203125" customWidth="1"/>
    <col min="3" max="3" width="12.21875" customWidth="1"/>
    <col min="4" max="4" width="11.44140625" customWidth="1"/>
    <col min="5" max="5" width="10.88671875" customWidth="1"/>
    <col min="6" max="6" width="13.21875" bestFit="1" customWidth="1"/>
    <col min="7" max="7" width="2.77734375" customWidth="1"/>
    <col min="8" max="8" width="3" customWidth="1"/>
    <col min="9" max="9" width="11.5546875" bestFit="1" customWidth="1"/>
    <col min="10" max="10" width="15.109375" bestFit="1" customWidth="1"/>
    <col min="11" max="11" width="14.21875" bestFit="1" customWidth="1"/>
    <col min="12" max="12" width="15.44140625" bestFit="1" customWidth="1"/>
    <col min="13" max="13" width="7.5546875" bestFit="1" customWidth="1"/>
  </cols>
  <sheetData>
    <row r="1" spans="1:13" ht="15.6">
      <c r="A1" s="76" t="s">
        <v>140</v>
      </c>
      <c r="B1" s="76"/>
      <c r="C1" s="76"/>
      <c r="D1" s="76"/>
      <c r="E1" s="76"/>
      <c r="F1" s="76"/>
      <c r="I1" s="4" t="s">
        <v>127</v>
      </c>
      <c r="J1" s="4" t="s">
        <v>177</v>
      </c>
    </row>
    <row r="2" spans="1:13">
      <c r="A2" s="77" t="s">
        <v>96</v>
      </c>
      <c r="B2" s="77"/>
      <c r="C2" s="77"/>
      <c r="D2" s="77"/>
      <c r="E2" s="77"/>
      <c r="F2" s="77"/>
      <c r="J2" s="4" t="s">
        <v>178</v>
      </c>
    </row>
    <row r="3" spans="1:13">
      <c r="A3" s="20" t="s">
        <v>97</v>
      </c>
      <c r="B3" s="78" t="s">
        <v>198</v>
      </c>
      <c r="C3" s="79"/>
      <c r="D3" s="79"/>
      <c r="E3" s="79"/>
      <c r="F3" s="79"/>
    </row>
    <row r="4" spans="1:13">
      <c r="A4" s="20" t="s">
        <v>98</v>
      </c>
      <c r="B4" s="78" t="s">
        <v>173</v>
      </c>
      <c r="C4" s="79"/>
      <c r="D4" s="79"/>
      <c r="E4" s="79"/>
      <c r="F4" s="79"/>
    </row>
    <row r="5" spans="1:13">
      <c r="A5" s="20" t="s">
        <v>91</v>
      </c>
      <c r="B5" s="80">
        <v>0.09</v>
      </c>
      <c r="C5" s="80"/>
      <c r="D5" s="80"/>
      <c r="E5" s="80"/>
      <c r="F5" s="80"/>
    </row>
    <row r="6" spans="1:13" ht="15.6">
      <c r="I6" s="76" t="s">
        <v>110</v>
      </c>
      <c r="J6" s="76"/>
      <c r="K6" s="76"/>
      <c r="L6" s="76"/>
      <c r="M6" s="76"/>
    </row>
    <row r="7" spans="1:13" ht="27.6" customHeight="1">
      <c r="A7" s="40" t="s">
        <v>116</v>
      </c>
      <c r="B7" s="40" t="s">
        <v>92</v>
      </c>
      <c r="C7" s="40" t="s">
        <v>93</v>
      </c>
      <c r="D7" s="40" t="s">
        <v>94</v>
      </c>
      <c r="E7" s="40" t="s">
        <v>121</v>
      </c>
      <c r="F7" s="40" t="s">
        <v>95</v>
      </c>
      <c r="I7" s="5"/>
      <c r="J7" s="7" t="s">
        <v>93</v>
      </c>
      <c r="K7" s="7" t="s">
        <v>94</v>
      </c>
      <c r="L7" s="7" t="s">
        <v>78</v>
      </c>
      <c r="M7" s="41" t="s">
        <v>176</v>
      </c>
    </row>
    <row r="8" spans="1:13">
      <c r="A8" s="20">
        <v>1</v>
      </c>
      <c r="B8" s="21">
        <v>15824000</v>
      </c>
      <c r="C8" s="21">
        <v>0</v>
      </c>
      <c r="D8" s="21">
        <f>B8*9%/12</f>
        <v>118680</v>
      </c>
      <c r="E8" s="21">
        <f>D8</f>
        <v>118680</v>
      </c>
      <c r="F8" s="21">
        <f t="shared" ref="F8:F91" si="0">B8-C8</f>
        <v>15824000</v>
      </c>
      <c r="G8" s="4"/>
      <c r="I8" s="7" t="s">
        <v>99</v>
      </c>
      <c r="J8" s="23">
        <v>0</v>
      </c>
      <c r="K8" s="23">
        <v>0</v>
      </c>
      <c r="L8" s="23">
        <v>0</v>
      </c>
      <c r="M8" s="23">
        <f>L8/10^5</f>
        <v>0</v>
      </c>
    </row>
    <row r="9" spans="1:13">
      <c r="A9" s="20">
        <v>2</v>
      </c>
      <c r="B9" s="21">
        <f>F8</f>
        <v>15824000</v>
      </c>
      <c r="C9" s="21">
        <v>0</v>
      </c>
      <c r="D9" s="21">
        <f t="shared" ref="D9:D72" si="1">B9*9%/12</f>
        <v>118680</v>
      </c>
      <c r="E9" s="21">
        <f t="shared" ref="E9:E13" si="2">D9</f>
        <v>118680</v>
      </c>
      <c r="F9" s="21">
        <f t="shared" si="0"/>
        <v>15824000</v>
      </c>
      <c r="G9" s="4"/>
      <c r="I9" s="7" t="s">
        <v>100</v>
      </c>
      <c r="J9" s="23">
        <f>SUM(C8:C12)</f>
        <v>0</v>
      </c>
      <c r="K9" s="23">
        <f>SUM(D8:D12)</f>
        <v>593400</v>
      </c>
      <c r="L9" s="23">
        <f t="shared" ref="L9:L15" si="3">SUM(J9:K9)</f>
        <v>593400</v>
      </c>
      <c r="M9" s="23">
        <f t="shared" ref="M9:M16" si="4">L9/10^5</f>
        <v>5.9340000000000002</v>
      </c>
    </row>
    <row r="10" spans="1:13">
      <c r="A10" s="20">
        <v>3</v>
      </c>
      <c r="B10" s="21">
        <f>F9</f>
        <v>15824000</v>
      </c>
      <c r="C10" s="21">
        <v>0</v>
      </c>
      <c r="D10" s="21">
        <f t="shared" si="1"/>
        <v>118680</v>
      </c>
      <c r="E10" s="21">
        <f t="shared" si="2"/>
        <v>118680</v>
      </c>
      <c r="F10" s="21">
        <f t="shared" si="0"/>
        <v>15824000</v>
      </c>
      <c r="G10" s="4"/>
      <c r="I10" s="7" t="s">
        <v>101</v>
      </c>
      <c r="J10" s="23">
        <f>SUM(C13:C24)</f>
        <v>1713554.536235854</v>
      </c>
      <c r="K10" s="23">
        <f>SUM(D13:D24)</f>
        <v>1360861.8737641461</v>
      </c>
      <c r="L10" s="23">
        <f t="shared" si="3"/>
        <v>3074416.41</v>
      </c>
      <c r="M10" s="23">
        <f t="shared" si="4"/>
        <v>30.744164100000003</v>
      </c>
    </row>
    <row r="11" spans="1:13">
      <c r="A11" s="20">
        <v>4</v>
      </c>
      <c r="B11" s="21">
        <f t="shared" ref="B11:B91" si="5">F10</f>
        <v>15824000</v>
      </c>
      <c r="C11" s="21">
        <v>0</v>
      </c>
      <c r="D11" s="21">
        <f t="shared" si="1"/>
        <v>118680</v>
      </c>
      <c r="E11" s="21">
        <f t="shared" si="2"/>
        <v>118680</v>
      </c>
      <c r="F11" s="21">
        <f t="shared" si="0"/>
        <v>15824000</v>
      </c>
      <c r="G11" s="4"/>
      <c r="I11" s="7" t="s">
        <v>102</v>
      </c>
      <c r="J11" s="23">
        <f>SUM(C25:C36)</f>
        <v>2037172.7402919487</v>
      </c>
      <c r="K11" s="23">
        <f>SUM(D25:D36)</f>
        <v>1187266.9797080513</v>
      </c>
      <c r="L11" s="23">
        <f t="shared" si="3"/>
        <v>3224439.7199999997</v>
      </c>
      <c r="M11" s="23">
        <f t="shared" si="4"/>
        <v>32.244397199999995</v>
      </c>
    </row>
    <row r="12" spans="1:13">
      <c r="A12" s="20">
        <v>5</v>
      </c>
      <c r="B12" s="21">
        <f t="shared" si="5"/>
        <v>15824000</v>
      </c>
      <c r="C12" s="21">
        <v>0</v>
      </c>
      <c r="D12" s="21">
        <f t="shared" si="1"/>
        <v>118680</v>
      </c>
      <c r="E12" s="21">
        <f t="shared" si="2"/>
        <v>118680</v>
      </c>
      <c r="F12" s="21">
        <f t="shared" si="0"/>
        <v>15824000</v>
      </c>
      <c r="G12" s="4"/>
      <c r="I12" s="7" t="s">
        <v>103</v>
      </c>
      <c r="J12" s="23">
        <f>SUM(C37:C48)</f>
        <v>2228273.5950786313</v>
      </c>
      <c r="K12" s="23">
        <f>SUM(D37:D48)</f>
        <v>996166.12492136855</v>
      </c>
      <c r="L12" s="23">
        <f t="shared" si="3"/>
        <v>3224439.7199999997</v>
      </c>
      <c r="M12" s="23">
        <f t="shared" si="4"/>
        <v>32.244397199999995</v>
      </c>
    </row>
    <row r="13" spans="1:13">
      <c r="A13" s="20">
        <v>6</v>
      </c>
      <c r="B13" s="21">
        <f t="shared" si="5"/>
        <v>15824000</v>
      </c>
      <c r="C13" s="21">
        <v>0</v>
      </c>
      <c r="D13" s="21">
        <f t="shared" si="1"/>
        <v>118680</v>
      </c>
      <c r="E13" s="21">
        <f t="shared" si="2"/>
        <v>118680</v>
      </c>
      <c r="F13" s="21">
        <f t="shared" si="0"/>
        <v>15824000</v>
      </c>
      <c r="G13" s="4"/>
      <c r="I13" s="7" t="s">
        <v>117</v>
      </c>
      <c r="J13" s="23">
        <f>SUM(C49:C60)</f>
        <v>2437301.028195126</v>
      </c>
      <c r="K13" s="23">
        <f>SUM(D49:D60)</f>
        <v>787138.69180487376</v>
      </c>
      <c r="L13" s="23">
        <f t="shared" si="3"/>
        <v>3224439.7199999997</v>
      </c>
      <c r="M13" s="23">
        <f t="shared" si="4"/>
        <v>32.244397199999995</v>
      </c>
    </row>
    <row r="14" spans="1:13">
      <c r="A14" s="20">
        <v>7</v>
      </c>
      <c r="B14" s="21">
        <f t="shared" si="5"/>
        <v>15824000</v>
      </c>
      <c r="C14" s="21">
        <f>E14-D14</f>
        <v>150023.31</v>
      </c>
      <c r="D14" s="21">
        <f t="shared" si="1"/>
        <v>118680</v>
      </c>
      <c r="E14" s="21">
        <v>268703.31</v>
      </c>
      <c r="F14" s="21">
        <f t="shared" si="0"/>
        <v>15673976.689999999</v>
      </c>
      <c r="G14" s="4"/>
      <c r="I14" s="7" t="s">
        <v>141</v>
      </c>
      <c r="J14" s="23">
        <f>SUM(C61:C72)</f>
        <v>2665936.6763404082</v>
      </c>
      <c r="K14" s="23">
        <f>SUM(D61:D72)</f>
        <v>558503.04365959158</v>
      </c>
      <c r="L14" s="23">
        <f t="shared" si="3"/>
        <v>3224439.7199999997</v>
      </c>
      <c r="M14" s="23">
        <f t="shared" si="4"/>
        <v>32.244397199999995</v>
      </c>
    </row>
    <row r="15" spans="1:13">
      <c r="A15" s="20">
        <v>8</v>
      </c>
      <c r="B15" s="21">
        <f t="shared" si="5"/>
        <v>15673976.689999999</v>
      </c>
      <c r="C15" s="21">
        <f t="shared" ref="C15:C78" si="6">E15-D15</f>
        <v>151148.48482499999</v>
      </c>
      <c r="D15" s="21">
        <f t="shared" si="1"/>
        <v>117554.82517499999</v>
      </c>
      <c r="E15" s="21">
        <v>268703.31</v>
      </c>
      <c r="F15" s="21">
        <f>B15-C15</f>
        <v>15522828.205174999</v>
      </c>
      <c r="G15" s="4"/>
      <c r="I15" s="7" t="s">
        <v>142</v>
      </c>
      <c r="J15" s="23">
        <f>SUM(C73:C84)</f>
        <v>2916019.925335194</v>
      </c>
      <c r="K15" s="23">
        <f>SUM(D73:D84)</f>
        <v>308419.79466480622</v>
      </c>
      <c r="L15" s="23">
        <f t="shared" si="3"/>
        <v>3224439.72</v>
      </c>
      <c r="M15" s="23">
        <f t="shared" si="4"/>
        <v>32.244397200000002</v>
      </c>
    </row>
    <row r="16" spans="1:13">
      <c r="A16" s="20">
        <v>9</v>
      </c>
      <c r="B16" s="21">
        <f t="shared" si="5"/>
        <v>15522828.205174999</v>
      </c>
      <c r="C16" s="21">
        <f t="shared" si="6"/>
        <v>152282.0984611875</v>
      </c>
      <c r="D16" s="21">
        <f t="shared" si="1"/>
        <v>116421.21153881249</v>
      </c>
      <c r="E16" s="21">
        <v>268703.31</v>
      </c>
      <c r="F16" s="21">
        <f t="shared" si="0"/>
        <v>15370546.106713811</v>
      </c>
      <c r="G16" s="4"/>
      <c r="I16" s="7" t="s">
        <v>143</v>
      </c>
      <c r="J16" s="23">
        <f>SUM(C85:C91)</f>
        <v>1825741.4993070154</v>
      </c>
      <c r="K16" s="23">
        <f>SUM(D85:D91)</f>
        <v>55181.480692984493</v>
      </c>
      <c r="L16" s="23">
        <f t="shared" ref="L16" si="7">SUM(J16:K16)</f>
        <v>1880922.98</v>
      </c>
      <c r="M16" s="23">
        <f t="shared" si="4"/>
        <v>18.809229800000001</v>
      </c>
    </row>
    <row r="17" spans="1:13">
      <c r="A17" s="20">
        <v>10</v>
      </c>
      <c r="B17" s="21">
        <f t="shared" si="5"/>
        <v>15370546.106713811</v>
      </c>
      <c r="C17" s="21">
        <f t="shared" si="6"/>
        <v>153424.21419964643</v>
      </c>
      <c r="D17" s="21">
        <f t="shared" si="1"/>
        <v>115279.09580035358</v>
      </c>
      <c r="E17" s="21">
        <v>268703.31</v>
      </c>
      <c r="F17" s="21">
        <f t="shared" si="0"/>
        <v>15217121.892514164</v>
      </c>
      <c r="G17" s="4"/>
      <c r="I17" s="6" t="s">
        <v>78</v>
      </c>
      <c r="J17" s="24">
        <f>SUM(J8:J16)</f>
        <v>15824000.000784179</v>
      </c>
      <c r="K17" s="24">
        <f t="shared" ref="K17:L17" si="8">SUM(K8:K16)</f>
        <v>5846937.989215821</v>
      </c>
      <c r="L17" s="24">
        <f t="shared" si="8"/>
        <v>21670937.989999998</v>
      </c>
      <c r="M17" s="24">
        <f t="shared" ref="M17" si="9">SUM(M8:M16)</f>
        <v>216.70937989999999</v>
      </c>
    </row>
    <row r="18" spans="1:13">
      <c r="A18" s="20">
        <v>11</v>
      </c>
      <c r="B18" s="21">
        <f t="shared" si="5"/>
        <v>15217121.892514164</v>
      </c>
      <c r="C18" s="21">
        <f t="shared" si="6"/>
        <v>154574.89580614376</v>
      </c>
      <c r="D18" s="21">
        <f t="shared" si="1"/>
        <v>114128.41419385622</v>
      </c>
      <c r="E18" s="21">
        <v>268703.31</v>
      </c>
      <c r="F18" s="21">
        <f t="shared" si="0"/>
        <v>15062546.996708021</v>
      </c>
      <c r="G18" s="4"/>
    </row>
    <row r="19" spans="1:13">
      <c r="A19" s="20">
        <v>12</v>
      </c>
      <c r="B19" s="21">
        <f t="shared" si="5"/>
        <v>15062546.996708021</v>
      </c>
      <c r="C19" s="21">
        <f t="shared" si="6"/>
        <v>155734.20752468985</v>
      </c>
      <c r="D19" s="21">
        <f t="shared" si="1"/>
        <v>112969.10247531015</v>
      </c>
      <c r="E19" s="21">
        <v>268703.31</v>
      </c>
      <c r="F19" s="21">
        <f t="shared" si="0"/>
        <v>14906812.78918333</v>
      </c>
      <c r="G19" s="4"/>
    </row>
    <row r="20" spans="1:13">
      <c r="A20" s="20">
        <v>13</v>
      </c>
      <c r="B20" s="21">
        <f t="shared" si="5"/>
        <v>14906812.78918333</v>
      </c>
      <c r="C20" s="21">
        <f t="shared" si="6"/>
        <v>156902.21408112504</v>
      </c>
      <c r="D20" s="21">
        <f t="shared" si="1"/>
        <v>111801.09591887497</v>
      </c>
      <c r="E20" s="21">
        <v>268703.31</v>
      </c>
      <c r="F20" s="21">
        <f t="shared" si="0"/>
        <v>14749910.575102204</v>
      </c>
      <c r="G20" s="4"/>
      <c r="I20" s="22"/>
      <c r="K20" s="22"/>
    </row>
    <row r="21" spans="1:13">
      <c r="A21" s="20">
        <v>14</v>
      </c>
      <c r="B21" s="21">
        <f t="shared" si="5"/>
        <v>14749910.575102204</v>
      </c>
      <c r="C21" s="21">
        <f t="shared" si="6"/>
        <v>158078.98068673344</v>
      </c>
      <c r="D21" s="21">
        <f t="shared" si="1"/>
        <v>110624.32931326654</v>
      </c>
      <c r="E21" s="21">
        <v>268703.31</v>
      </c>
      <c r="F21" s="21">
        <f t="shared" si="0"/>
        <v>14591831.594415471</v>
      </c>
      <c r="G21" s="4"/>
    </row>
    <row r="22" spans="1:13">
      <c r="A22" s="20">
        <v>15</v>
      </c>
      <c r="B22" s="21">
        <f t="shared" si="5"/>
        <v>14591831.594415471</v>
      </c>
      <c r="C22" s="21">
        <f t="shared" si="6"/>
        <v>159264.573041884</v>
      </c>
      <c r="D22" s="21">
        <f t="shared" si="1"/>
        <v>109438.73695811602</v>
      </c>
      <c r="E22" s="21">
        <v>268703.31</v>
      </c>
      <c r="F22" s="21">
        <f t="shared" si="0"/>
        <v>14432567.021373587</v>
      </c>
      <c r="G22" s="4"/>
    </row>
    <row r="23" spans="1:13">
      <c r="A23" s="20">
        <v>16</v>
      </c>
      <c r="B23" s="21">
        <f t="shared" si="5"/>
        <v>14432567.021373587</v>
      </c>
      <c r="C23" s="21">
        <f t="shared" si="6"/>
        <v>160459.05733969808</v>
      </c>
      <c r="D23" s="21">
        <f t="shared" si="1"/>
        <v>108244.25266030191</v>
      </c>
      <c r="E23" s="21">
        <v>268703.31</v>
      </c>
      <c r="F23" s="21">
        <f t="shared" si="0"/>
        <v>14272107.964033889</v>
      </c>
      <c r="G23" s="4"/>
    </row>
    <row r="24" spans="1:13">
      <c r="A24" s="20">
        <v>17</v>
      </c>
      <c r="B24" s="21">
        <f t="shared" si="5"/>
        <v>14272107.964033889</v>
      </c>
      <c r="C24" s="21">
        <f t="shared" si="6"/>
        <v>161662.50026974583</v>
      </c>
      <c r="D24" s="21">
        <f t="shared" si="1"/>
        <v>107040.80973025416</v>
      </c>
      <c r="E24" s="21">
        <v>268703.31</v>
      </c>
      <c r="F24" s="21">
        <f t="shared" si="0"/>
        <v>14110445.463764142</v>
      </c>
      <c r="G24" s="4"/>
    </row>
    <row r="25" spans="1:13">
      <c r="A25" s="20">
        <v>18</v>
      </c>
      <c r="B25" s="21">
        <f t="shared" si="5"/>
        <v>14110445.463764142</v>
      </c>
      <c r="C25" s="21">
        <f t="shared" si="6"/>
        <v>162874.96902176895</v>
      </c>
      <c r="D25" s="21">
        <f t="shared" si="1"/>
        <v>105828.34097823106</v>
      </c>
      <c r="E25" s="21">
        <v>268703.31</v>
      </c>
      <c r="F25" s="21">
        <f t="shared" si="0"/>
        <v>13947570.494742373</v>
      </c>
      <c r="G25" s="4"/>
    </row>
    <row r="26" spans="1:13">
      <c r="A26" s="20">
        <v>19</v>
      </c>
      <c r="B26" s="21">
        <f t="shared" si="5"/>
        <v>13947570.494742373</v>
      </c>
      <c r="C26" s="21">
        <f t="shared" si="6"/>
        <v>164096.5312894322</v>
      </c>
      <c r="D26" s="21">
        <f t="shared" si="1"/>
        <v>104606.7787105678</v>
      </c>
      <c r="E26" s="21">
        <v>268703.31</v>
      </c>
      <c r="F26" s="21">
        <f t="shared" si="0"/>
        <v>13783473.963452941</v>
      </c>
      <c r="G26" s="4"/>
    </row>
    <row r="27" spans="1:13">
      <c r="A27" s="20">
        <v>20</v>
      </c>
      <c r="B27" s="21">
        <f t="shared" si="5"/>
        <v>13783473.963452941</v>
      </c>
      <c r="C27" s="21">
        <f t="shared" si="6"/>
        <v>165327.25527410296</v>
      </c>
      <c r="D27" s="21">
        <f t="shared" si="1"/>
        <v>103376.05472589705</v>
      </c>
      <c r="E27" s="21">
        <v>268703.31</v>
      </c>
      <c r="F27" s="21">
        <f t="shared" si="0"/>
        <v>13618146.708178839</v>
      </c>
      <c r="G27" s="4"/>
    </row>
    <row r="28" spans="1:13">
      <c r="A28" s="20">
        <v>21</v>
      </c>
      <c r="B28" s="21">
        <f t="shared" si="5"/>
        <v>13618146.708178839</v>
      </c>
      <c r="C28" s="21">
        <f t="shared" si="6"/>
        <v>166567.20968865871</v>
      </c>
      <c r="D28" s="21">
        <f t="shared" si="1"/>
        <v>102136.10031134129</v>
      </c>
      <c r="E28" s="21">
        <v>268703.31</v>
      </c>
      <c r="F28" s="21">
        <f t="shared" si="0"/>
        <v>13451579.498490181</v>
      </c>
      <c r="G28" s="4"/>
    </row>
    <row r="29" spans="1:13">
      <c r="A29" s="20">
        <v>22</v>
      </c>
      <c r="B29" s="21">
        <f t="shared" si="5"/>
        <v>13451579.498490181</v>
      </c>
      <c r="C29" s="21">
        <f t="shared" si="6"/>
        <v>167816.46376132366</v>
      </c>
      <c r="D29" s="21">
        <f t="shared" si="1"/>
        <v>100886.84623867636</v>
      </c>
      <c r="E29" s="21">
        <v>268703.31</v>
      </c>
      <c r="F29" s="21">
        <f t="shared" si="0"/>
        <v>13283763.034728857</v>
      </c>
      <c r="G29" s="4"/>
    </row>
    <row r="30" spans="1:13">
      <c r="A30" s="20">
        <v>23</v>
      </c>
      <c r="B30" s="21">
        <f t="shared" si="5"/>
        <v>13283763.034728857</v>
      </c>
      <c r="C30" s="21">
        <f t="shared" si="6"/>
        <v>169075.0872395336</v>
      </c>
      <c r="D30" s="21">
        <f t="shared" si="1"/>
        <v>99628.222760466408</v>
      </c>
      <c r="E30" s="21">
        <v>268703.31</v>
      </c>
      <c r="F30" s="21">
        <f t="shared" si="0"/>
        <v>13114687.947489323</v>
      </c>
      <c r="G30" s="4"/>
    </row>
    <row r="31" spans="1:13">
      <c r="A31" s="20">
        <v>24</v>
      </c>
      <c r="B31" s="21">
        <f t="shared" si="5"/>
        <v>13114687.947489323</v>
      </c>
      <c r="C31" s="21">
        <f t="shared" si="6"/>
        <v>170343.15039383009</v>
      </c>
      <c r="D31" s="21">
        <f t="shared" si="1"/>
        <v>98360.159606169924</v>
      </c>
      <c r="E31" s="21">
        <v>268703.31</v>
      </c>
      <c r="F31" s="21">
        <f t="shared" si="0"/>
        <v>12944344.797095492</v>
      </c>
      <c r="G31" s="4"/>
    </row>
    <row r="32" spans="1:13">
      <c r="A32" s="20">
        <v>25</v>
      </c>
      <c r="B32" s="21">
        <f t="shared" si="5"/>
        <v>12944344.797095492</v>
      </c>
      <c r="C32" s="21">
        <f t="shared" si="6"/>
        <v>171620.7240217838</v>
      </c>
      <c r="D32" s="21">
        <f t="shared" si="1"/>
        <v>97082.585978216186</v>
      </c>
      <c r="E32" s="21">
        <v>268703.31</v>
      </c>
      <c r="F32" s="21">
        <f t="shared" si="0"/>
        <v>12772724.073073709</v>
      </c>
      <c r="G32" s="4"/>
    </row>
    <row r="33" spans="1:7">
      <c r="A33" s="20">
        <v>26</v>
      </c>
      <c r="B33" s="21">
        <f t="shared" si="5"/>
        <v>12772724.073073709</v>
      </c>
      <c r="C33" s="21">
        <f t="shared" si="6"/>
        <v>172907.87945194717</v>
      </c>
      <c r="D33" s="21">
        <f t="shared" si="1"/>
        <v>95795.430548052813</v>
      </c>
      <c r="E33" s="21">
        <v>268703.31</v>
      </c>
      <c r="F33" s="21">
        <f t="shared" si="0"/>
        <v>12599816.193621762</v>
      </c>
      <c r="G33" s="4"/>
    </row>
    <row r="34" spans="1:7">
      <c r="A34" s="20">
        <v>27</v>
      </c>
      <c r="B34" s="21">
        <f t="shared" si="5"/>
        <v>12599816.193621762</v>
      </c>
      <c r="C34" s="21">
        <f t="shared" si="6"/>
        <v>174204.68854783679</v>
      </c>
      <c r="D34" s="21">
        <f t="shared" si="1"/>
        <v>94498.621452163206</v>
      </c>
      <c r="E34" s="21">
        <v>268703.31</v>
      </c>
      <c r="F34" s="21">
        <f t="shared" si="0"/>
        <v>12425611.505073925</v>
      </c>
      <c r="G34" s="4"/>
    </row>
    <row r="35" spans="1:7">
      <c r="A35" s="20">
        <v>28</v>
      </c>
      <c r="B35" s="21">
        <f t="shared" si="5"/>
        <v>12425611.505073925</v>
      </c>
      <c r="C35" s="21">
        <f t="shared" si="6"/>
        <v>175511.22371194558</v>
      </c>
      <c r="D35" s="21">
        <f t="shared" si="1"/>
        <v>93192.08628805443</v>
      </c>
      <c r="E35" s="21">
        <v>268703.31</v>
      </c>
      <c r="F35" s="21">
        <f t="shared" si="0"/>
        <v>12250100.28136198</v>
      </c>
      <c r="G35" s="4"/>
    </row>
    <row r="36" spans="1:7">
      <c r="A36" s="20">
        <v>29</v>
      </c>
      <c r="B36" s="21">
        <f t="shared" si="5"/>
        <v>12250100.28136198</v>
      </c>
      <c r="C36" s="21">
        <f t="shared" si="6"/>
        <v>176827.55788978515</v>
      </c>
      <c r="D36" s="21">
        <f t="shared" si="1"/>
        <v>91875.752110214846</v>
      </c>
      <c r="E36" s="21">
        <v>268703.31</v>
      </c>
      <c r="F36" s="21">
        <f t="shared" si="0"/>
        <v>12073272.723472195</v>
      </c>
      <c r="G36" s="4"/>
    </row>
    <row r="37" spans="1:7">
      <c r="A37" s="20">
        <v>30</v>
      </c>
      <c r="B37" s="21">
        <f t="shared" si="5"/>
        <v>12073272.723472195</v>
      </c>
      <c r="C37" s="21">
        <f t="shared" si="6"/>
        <v>178153.76457395853</v>
      </c>
      <c r="D37" s="21">
        <f t="shared" si="1"/>
        <v>90549.545426041455</v>
      </c>
      <c r="E37" s="21">
        <v>268703.31</v>
      </c>
      <c r="F37" s="21">
        <f t="shared" si="0"/>
        <v>11895118.958898237</v>
      </c>
      <c r="G37" s="4"/>
    </row>
    <row r="38" spans="1:7">
      <c r="A38" s="20">
        <v>31</v>
      </c>
      <c r="B38" s="21">
        <f t="shared" si="5"/>
        <v>11895118.958898237</v>
      </c>
      <c r="C38" s="21">
        <f t="shared" si="6"/>
        <v>179489.91780826321</v>
      </c>
      <c r="D38" s="21">
        <f t="shared" si="1"/>
        <v>89213.39219173677</v>
      </c>
      <c r="E38" s="21">
        <v>268703.31</v>
      </c>
      <c r="F38" s="21">
        <f t="shared" si="0"/>
        <v>11715629.041089974</v>
      </c>
      <c r="G38" s="4"/>
    </row>
    <row r="39" spans="1:7">
      <c r="A39" s="20">
        <v>32</v>
      </c>
      <c r="B39" s="21">
        <f t="shared" si="5"/>
        <v>11715629.041089974</v>
      </c>
      <c r="C39" s="21">
        <f t="shared" si="6"/>
        <v>180836.09219182521</v>
      </c>
      <c r="D39" s="21">
        <f t="shared" si="1"/>
        <v>87867.217808174799</v>
      </c>
      <c r="E39" s="21">
        <v>268703.31</v>
      </c>
      <c r="F39" s="21">
        <f t="shared" si="0"/>
        <v>11534792.94889815</v>
      </c>
      <c r="G39" s="4"/>
    </row>
    <row r="40" spans="1:7">
      <c r="A40" s="20">
        <v>33</v>
      </c>
      <c r="B40" s="21">
        <f t="shared" si="5"/>
        <v>11534792.94889815</v>
      </c>
      <c r="C40" s="21">
        <f t="shared" si="6"/>
        <v>182192.36288326388</v>
      </c>
      <c r="D40" s="21">
        <f t="shared" si="1"/>
        <v>86510.947116736119</v>
      </c>
      <c r="E40" s="21">
        <v>268703.31</v>
      </c>
      <c r="F40" s="21">
        <f t="shared" si="0"/>
        <v>11352600.586014885</v>
      </c>
      <c r="G40" s="4"/>
    </row>
    <row r="41" spans="1:7">
      <c r="A41" s="20">
        <v>34</v>
      </c>
      <c r="B41" s="21">
        <f t="shared" si="5"/>
        <v>11352600.586014885</v>
      </c>
      <c r="C41" s="21">
        <f t="shared" si="6"/>
        <v>183558.80560488836</v>
      </c>
      <c r="D41" s="21">
        <f t="shared" si="1"/>
        <v>85144.504395111639</v>
      </c>
      <c r="E41" s="21">
        <v>268703.31</v>
      </c>
      <c r="F41" s="21">
        <f t="shared" si="0"/>
        <v>11169041.780409997</v>
      </c>
      <c r="G41" s="4"/>
    </row>
    <row r="42" spans="1:7">
      <c r="A42" s="20">
        <v>35</v>
      </c>
      <c r="B42" s="21">
        <f t="shared" si="5"/>
        <v>11169041.780409997</v>
      </c>
      <c r="C42" s="21">
        <f t="shared" si="6"/>
        <v>184935.49664692502</v>
      </c>
      <c r="D42" s="21">
        <f t="shared" si="1"/>
        <v>83767.813353074976</v>
      </c>
      <c r="E42" s="21">
        <v>268703.31</v>
      </c>
      <c r="F42" s="21">
        <f t="shared" si="0"/>
        <v>10984106.283763072</v>
      </c>
      <c r="G42" s="4"/>
    </row>
    <row r="43" spans="1:7">
      <c r="A43" s="20">
        <v>36</v>
      </c>
      <c r="B43" s="21">
        <f t="shared" si="5"/>
        <v>10984106.283763072</v>
      </c>
      <c r="C43" s="21">
        <f t="shared" si="6"/>
        <v>186322.51287177694</v>
      </c>
      <c r="D43" s="21">
        <f t="shared" si="1"/>
        <v>82380.797128223043</v>
      </c>
      <c r="E43" s="21">
        <v>268703.31</v>
      </c>
      <c r="F43" s="21">
        <f t="shared" si="0"/>
        <v>10797783.770891294</v>
      </c>
      <c r="G43" s="4"/>
    </row>
    <row r="44" spans="1:7">
      <c r="A44" s="20">
        <v>37</v>
      </c>
      <c r="B44" s="21">
        <f t="shared" si="5"/>
        <v>10797783.770891294</v>
      </c>
      <c r="C44" s="21">
        <f t="shared" si="6"/>
        <v>187719.93171831529</v>
      </c>
      <c r="D44" s="21">
        <f t="shared" si="1"/>
        <v>80983.378281684694</v>
      </c>
      <c r="E44" s="21">
        <v>268703.31</v>
      </c>
      <c r="F44" s="21">
        <f t="shared" si="0"/>
        <v>10610063.839172978</v>
      </c>
      <c r="G44" s="4"/>
    </row>
    <row r="45" spans="1:7">
      <c r="A45" s="20">
        <v>38</v>
      </c>
      <c r="B45" s="21">
        <f t="shared" si="5"/>
        <v>10610063.839172978</v>
      </c>
      <c r="C45" s="21">
        <f t="shared" si="6"/>
        <v>189127.83120620268</v>
      </c>
      <c r="D45" s="21">
        <f t="shared" si="1"/>
        <v>79575.478793797331</v>
      </c>
      <c r="E45" s="21">
        <v>268703.31</v>
      </c>
      <c r="F45" s="21">
        <f t="shared" si="0"/>
        <v>10420936.007966775</v>
      </c>
      <c r="G45" s="4"/>
    </row>
    <row r="46" spans="1:7">
      <c r="A46" s="20">
        <v>39</v>
      </c>
      <c r="B46" s="21">
        <f t="shared" si="5"/>
        <v>10420936.007966775</v>
      </c>
      <c r="C46" s="21">
        <f t="shared" si="6"/>
        <v>190546.28994024917</v>
      </c>
      <c r="D46" s="21">
        <f t="shared" si="1"/>
        <v>78157.020059750808</v>
      </c>
      <c r="E46" s="21">
        <v>268703.31</v>
      </c>
      <c r="F46" s="21">
        <f t="shared" si="0"/>
        <v>10230389.718026526</v>
      </c>
      <c r="G46" s="4"/>
    </row>
    <row r="47" spans="1:7">
      <c r="A47" s="20">
        <v>40</v>
      </c>
      <c r="B47" s="21">
        <f t="shared" si="5"/>
        <v>10230389.718026526</v>
      </c>
      <c r="C47" s="21">
        <f t="shared" si="6"/>
        <v>191975.38711480104</v>
      </c>
      <c r="D47" s="21">
        <f t="shared" si="1"/>
        <v>76727.922885198946</v>
      </c>
      <c r="E47" s="21">
        <v>268703.31</v>
      </c>
      <c r="F47" s="21">
        <f t="shared" si="0"/>
        <v>10038414.330911726</v>
      </c>
      <c r="G47" s="4"/>
    </row>
    <row r="48" spans="1:7">
      <c r="A48" s="20">
        <v>41</v>
      </c>
      <c r="B48" s="21">
        <f t="shared" si="5"/>
        <v>10038414.330911726</v>
      </c>
      <c r="C48" s="21">
        <f t="shared" si="6"/>
        <v>193415.20251816206</v>
      </c>
      <c r="D48" s="21">
        <f t="shared" si="1"/>
        <v>75288.107481837942</v>
      </c>
      <c r="E48" s="21">
        <v>268703.31</v>
      </c>
      <c r="F48" s="21">
        <f t="shared" si="0"/>
        <v>9844999.1283935644</v>
      </c>
      <c r="G48" s="4"/>
    </row>
    <row r="49" spans="1:7">
      <c r="A49" s="20">
        <v>42</v>
      </c>
      <c r="B49" s="21">
        <f t="shared" si="5"/>
        <v>9844999.1283935644</v>
      </c>
      <c r="C49" s="21">
        <f t="shared" si="6"/>
        <v>194865.81653704826</v>
      </c>
      <c r="D49" s="21">
        <f t="shared" si="1"/>
        <v>73837.493462951723</v>
      </c>
      <c r="E49" s="21">
        <v>268703.31</v>
      </c>
      <c r="F49" s="21">
        <f t="shared" si="0"/>
        <v>9650133.3118565157</v>
      </c>
      <c r="G49" s="4"/>
    </row>
    <row r="50" spans="1:7">
      <c r="A50" s="20">
        <v>43</v>
      </c>
      <c r="B50" s="21">
        <f t="shared" si="5"/>
        <v>9650133.3118565157</v>
      </c>
      <c r="C50" s="21">
        <f t="shared" si="6"/>
        <v>196327.31016107614</v>
      </c>
      <c r="D50" s="21">
        <f t="shared" si="1"/>
        <v>72375.999838923861</v>
      </c>
      <c r="E50" s="21">
        <v>268703.31</v>
      </c>
      <c r="F50" s="21">
        <f t="shared" si="0"/>
        <v>9453806.0016954392</v>
      </c>
      <c r="G50" s="4"/>
    </row>
    <row r="51" spans="1:7">
      <c r="A51" s="20">
        <v>44</v>
      </c>
      <c r="B51" s="21">
        <f t="shared" si="5"/>
        <v>9453806.0016954392</v>
      </c>
      <c r="C51" s="21">
        <f t="shared" si="6"/>
        <v>197799.7649872842</v>
      </c>
      <c r="D51" s="21">
        <f t="shared" si="1"/>
        <v>70903.545012715782</v>
      </c>
      <c r="E51" s="21">
        <v>268703.31</v>
      </c>
      <c r="F51" s="21">
        <f t="shared" si="0"/>
        <v>9256006.2367081549</v>
      </c>
      <c r="G51" s="4"/>
    </row>
    <row r="52" spans="1:7">
      <c r="A52" s="20">
        <v>45</v>
      </c>
      <c r="B52" s="21">
        <f t="shared" si="5"/>
        <v>9256006.2367081549</v>
      </c>
      <c r="C52" s="21">
        <f t="shared" si="6"/>
        <v>199283.26322468882</v>
      </c>
      <c r="D52" s="21">
        <f t="shared" si="1"/>
        <v>69420.046775311159</v>
      </c>
      <c r="E52" s="21">
        <v>268703.31</v>
      </c>
      <c r="F52" s="21">
        <f t="shared" si="0"/>
        <v>9056722.9734834656</v>
      </c>
      <c r="G52" s="4"/>
    </row>
    <row r="53" spans="1:7">
      <c r="A53" s="20">
        <v>46</v>
      </c>
      <c r="B53" s="21">
        <f t="shared" si="5"/>
        <v>9056722.9734834656</v>
      </c>
      <c r="C53" s="21">
        <f t="shared" si="6"/>
        <v>200777.88769887399</v>
      </c>
      <c r="D53" s="21">
        <f t="shared" si="1"/>
        <v>67925.422301125989</v>
      </c>
      <c r="E53" s="21">
        <v>268703.31</v>
      </c>
      <c r="F53" s="21">
        <f t="shared" si="0"/>
        <v>8855945.0857845917</v>
      </c>
      <c r="G53" s="4"/>
    </row>
    <row r="54" spans="1:7">
      <c r="A54" s="20">
        <v>47</v>
      </c>
      <c r="B54" s="21">
        <f t="shared" si="5"/>
        <v>8855945.0857845917</v>
      </c>
      <c r="C54" s="21">
        <f t="shared" si="6"/>
        <v>202283.72185661556</v>
      </c>
      <c r="D54" s="21">
        <f t="shared" si="1"/>
        <v>66419.588143384433</v>
      </c>
      <c r="E54" s="21">
        <v>268703.31</v>
      </c>
      <c r="F54" s="21">
        <f t="shared" si="0"/>
        <v>8653661.3639279753</v>
      </c>
      <c r="G54" s="4"/>
    </row>
    <row r="55" spans="1:7">
      <c r="A55" s="20">
        <v>48</v>
      </c>
      <c r="B55" s="21">
        <f t="shared" si="5"/>
        <v>8653661.3639279753</v>
      </c>
      <c r="C55" s="21">
        <f t="shared" si="6"/>
        <v>203800.8497705402</v>
      </c>
      <c r="D55" s="21">
        <f t="shared" si="1"/>
        <v>64902.460229459808</v>
      </c>
      <c r="E55" s="21">
        <v>268703.31</v>
      </c>
      <c r="F55" s="21">
        <f t="shared" si="0"/>
        <v>8449860.5141574349</v>
      </c>
      <c r="G55" s="4"/>
    </row>
    <row r="56" spans="1:7">
      <c r="A56" s="20">
        <v>49</v>
      </c>
      <c r="B56" s="21">
        <f t="shared" si="5"/>
        <v>8449860.5141574349</v>
      </c>
      <c r="C56" s="21">
        <f t="shared" si="6"/>
        <v>205329.35614381923</v>
      </c>
      <c r="D56" s="21">
        <f t="shared" si="1"/>
        <v>63373.953856180764</v>
      </c>
      <c r="E56" s="21">
        <v>268703.31</v>
      </c>
      <c r="F56" s="21">
        <f t="shared" si="0"/>
        <v>8244531.1580136158</v>
      </c>
      <c r="G56" s="4"/>
    </row>
    <row r="57" spans="1:7">
      <c r="A57" s="20">
        <v>50</v>
      </c>
      <c r="B57" s="21">
        <f t="shared" si="5"/>
        <v>8244531.1580136158</v>
      </c>
      <c r="C57" s="21">
        <f t="shared" si="6"/>
        <v>206869.32631489789</v>
      </c>
      <c r="D57" s="21">
        <f t="shared" si="1"/>
        <v>61833.983685102117</v>
      </c>
      <c r="E57" s="21">
        <v>268703.31</v>
      </c>
      <c r="F57" s="21">
        <f t="shared" si="0"/>
        <v>8037661.8316987175</v>
      </c>
      <c r="G57" s="4"/>
    </row>
    <row r="58" spans="1:7">
      <c r="A58" s="20">
        <v>51</v>
      </c>
      <c r="B58" s="21">
        <f t="shared" si="5"/>
        <v>8037661.8316987175</v>
      </c>
      <c r="C58" s="21">
        <f t="shared" si="6"/>
        <v>208420.84626225961</v>
      </c>
      <c r="D58" s="21">
        <f t="shared" si="1"/>
        <v>60282.463737740378</v>
      </c>
      <c r="E58" s="21">
        <v>268703.31</v>
      </c>
      <c r="F58" s="21">
        <f t="shared" si="0"/>
        <v>7829240.9854364581</v>
      </c>
      <c r="G58" s="4"/>
    </row>
    <row r="59" spans="1:7">
      <c r="A59" s="20">
        <v>52</v>
      </c>
      <c r="B59" s="21">
        <f t="shared" si="5"/>
        <v>7829240.9854364581</v>
      </c>
      <c r="C59" s="21">
        <f t="shared" si="6"/>
        <v>209984.00260922656</v>
      </c>
      <c r="D59" s="21">
        <f t="shared" si="1"/>
        <v>58719.307390773436</v>
      </c>
      <c r="E59" s="21">
        <v>268703.31</v>
      </c>
      <c r="F59" s="21">
        <f t="shared" si="0"/>
        <v>7619256.9828272313</v>
      </c>
      <c r="G59" s="4"/>
    </row>
    <row r="60" spans="1:7">
      <c r="A60" s="20">
        <v>53</v>
      </c>
      <c r="B60" s="21">
        <f t="shared" si="5"/>
        <v>7619256.9828272313</v>
      </c>
      <c r="C60" s="21">
        <f t="shared" si="6"/>
        <v>211558.88262879578</v>
      </c>
      <c r="D60" s="21">
        <f t="shared" si="1"/>
        <v>57144.427371204227</v>
      </c>
      <c r="E60" s="21">
        <v>268703.31</v>
      </c>
      <c r="F60" s="21">
        <f t="shared" si="0"/>
        <v>7407698.1001984356</v>
      </c>
      <c r="G60" s="4"/>
    </row>
    <row r="61" spans="1:7">
      <c r="A61" s="20">
        <v>54</v>
      </c>
      <c r="B61" s="21">
        <f t="shared" si="5"/>
        <v>7407698.1001984356</v>
      </c>
      <c r="C61" s="21">
        <f t="shared" si="6"/>
        <v>213145.57424851172</v>
      </c>
      <c r="D61" s="21">
        <f t="shared" si="1"/>
        <v>55557.735751488268</v>
      </c>
      <c r="E61" s="21">
        <v>268703.31</v>
      </c>
      <c r="F61" s="21">
        <f t="shared" si="0"/>
        <v>7194552.5259499243</v>
      </c>
      <c r="G61" s="4"/>
    </row>
    <row r="62" spans="1:7">
      <c r="A62" s="20">
        <v>55</v>
      </c>
      <c r="B62" s="21">
        <f t="shared" si="5"/>
        <v>7194552.5259499243</v>
      </c>
      <c r="C62" s="21">
        <f t="shared" si="6"/>
        <v>214744.16605537556</v>
      </c>
      <c r="D62" s="21">
        <f t="shared" si="1"/>
        <v>53959.143944624433</v>
      </c>
      <c r="E62" s="21">
        <v>268703.31</v>
      </c>
      <c r="F62" s="21">
        <f t="shared" si="0"/>
        <v>6979808.3598945485</v>
      </c>
      <c r="G62" s="4"/>
    </row>
    <row r="63" spans="1:7">
      <c r="A63" s="20">
        <v>56</v>
      </c>
      <c r="B63" s="21">
        <f t="shared" si="5"/>
        <v>6979808.3598945485</v>
      </c>
      <c r="C63" s="21">
        <f t="shared" si="6"/>
        <v>216354.74730079088</v>
      </c>
      <c r="D63" s="21">
        <f t="shared" si="1"/>
        <v>52348.562699209113</v>
      </c>
      <c r="E63" s="21">
        <v>268703.31</v>
      </c>
      <c r="F63" s="21">
        <f t="shared" si="0"/>
        <v>6763453.6125937579</v>
      </c>
      <c r="G63" s="4"/>
    </row>
    <row r="64" spans="1:7">
      <c r="A64" s="20">
        <v>57</v>
      </c>
      <c r="B64" s="21">
        <f t="shared" si="5"/>
        <v>6763453.6125937579</v>
      </c>
      <c r="C64" s="21">
        <f t="shared" si="6"/>
        <v>217977.4079055468</v>
      </c>
      <c r="D64" s="21">
        <f t="shared" si="1"/>
        <v>50725.902094453188</v>
      </c>
      <c r="E64" s="21">
        <v>268703.31</v>
      </c>
      <c r="F64" s="21">
        <f t="shared" si="0"/>
        <v>6545476.204688211</v>
      </c>
      <c r="G64" s="4"/>
    </row>
    <row r="65" spans="1:7">
      <c r="A65" s="20">
        <v>58</v>
      </c>
      <c r="B65" s="21">
        <f t="shared" si="5"/>
        <v>6545476.204688211</v>
      </c>
      <c r="C65" s="21">
        <f t="shared" si="6"/>
        <v>219612.23846483842</v>
      </c>
      <c r="D65" s="21">
        <f t="shared" si="1"/>
        <v>49091.07153516158</v>
      </c>
      <c r="E65" s="21">
        <v>268703.31</v>
      </c>
      <c r="F65" s="21">
        <f t="shared" si="0"/>
        <v>6325863.9662233721</v>
      </c>
      <c r="G65" s="4"/>
    </row>
    <row r="66" spans="1:7">
      <c r="A66" s="20">
        <v>59</v>
      </c>
      <c r="B66" s="21">
        <f t="shared" si="5"/>
        <v>6325863.9662233721</v>
      </c>
      <c r="C66" s="21">
        <f t="shared" si="6"/>
        <v>221259.3302533247</v>
      </c>
      <c r="D66" s="21">
        <f t="shared" si="1"/>
        <v>47443.979746675293</v>
      </c>
      <c r="E66" s="21">
        <v>268703.31</v>
      </c>
      <c r="F66" s="21">
        <f t="shared" si="0"/>
        <v>6104604.6359700477</v>
      </c>
      <c r="G66" s="4"/>
    </row>
    <row r="67" spans="1:7">
      <c r="A67" s="20">
        <v>60</v>
      </c>
      <c r="B67" s="21">
        <f t="shared" si="5"/>
        <v>6104604.6359700477</v>
      </c>
      <c r="C67" s="21">
        <f t="shared" si="6"/>
        <v>222918.77523022465</v>
      </c>
      <c r="D67" s="21">
        <f t="shared" si="1"/>
        <v>45784.534769775353</v>
      </c>
      <c r="E67" s="21">
        <v>268703.31</v>
      </c>
      <c r="F67" s="21">
        <f t="shared" si="0"/>
        <v>5881685.8607398234</v>
      </c>
      <c r="G67" s="4"/>
    </row>
    <row r="68" spans="1:7">
      <c r="A68" s="20">
        <v>61</v>
      </c>
      <c r="B68" s="21">
        <f t="shared" si="5"/>
        <v>5881685.8607398234</v>
      </c>
      <c r="C68" s="21">
        <f t="shared" si="6"/>
        <v>224590.66604445133</v>
      </c>
      <c r="D68" s="21">
        <f t="shared" si="1"/>
        <v>44112.643955548672</v>
      </c>
      <c r="E68" s="21">
        <v>268703.31</v>
      </c>
      <c r="F68" s="21">
        <f t="shared" si="0"/>
        <v>5657095.1946953721</v>
      </c>
      <c r="G68" s="4"/>
    </row>
    <row r="69" spans="1:7">
      <c r="A69" s="20">
        <v>62</v>
      </c>
      <c r="B69" s="21">
        <f t="shared" si="5"/>
        <v>5657095.1946953721</v>
      </c>
      <c r="C69" s="21">
        <f t="shared" si="6"/>
        <v>226275.09603978472</v>
      </c>
      <c r="D69" s="21">
        <f t="shared" si="1"/>
        <v>42428.213960215289</v>
      </c>
      <c r="E69" s="21">
        <v>268703.31</v>
      </c>
      <c r="F69" s="21">
        <f t="shared" si="0"/>
        <v>5430820.0986555871</v>
      </c>
      <c r="G69" s="4"/>
    </row>
    <row r="70" spans="1:7">
      <c r="A70" s="20">
        <v>63</v>
      </c>
      <c r="B70" s="21">
        <f t="shared" si="5"/>
        <v>5430820.0986555871</v>
      </c>
      <c r="C70" s="21">
        <f t="shared" si="6"/>
        <v>227972.15926008311</v>
      </c>
      <c r="D70" s="21">
        <f t="shared" si="1"/>
        <v>40731.150739916899</v>
      </c>
      <c r="E70" s="21">
        <v>268703.31</v>
      </c>
      <c r="F70" s="21">
        <f t="shared" si="0"/>
        <v>5202847.9393955041</v>
      </c>
      <c r="G70" s="4"/>
    </row>
    <row r="71" spans="1:7">
      <c r="A71" s="20">
        <v>64</v>
      </c>
      <c r="B71" s="21">
        <f t="shared" si="5"/>
        <v>5202847.9393955041</v>
      </c>
      <c r="C71" s="21">
        <f t="shared" si="6"/>
        <v>229681.95045453371</v>
      </c>
      <c r="D71" s="21">
        <f t="shared" si="1"/>
        <v>39021.359545466279</v>
      </c>
      <c r="E71" s="21">
        <v>268703.31</v>
      </c>
      <c r="F71" s="21">
        <f t="shared" si="0"/>
        <v>4973165.98894097</v>
      </c>
      <c r="G71" s="4"/>
    </row>
    <row r="72" spans="1:7">
      <c r="A72" s="20">
        <v>65</v>
      </c>
      <c r="B72" s="21">
        <f t="shared" si="5"/>
        <v>4973165.98894097</v>
      </c>
      <c r="C72" s="21">
        <f t="shared" si="6"/>
        <v>231404.56508294272</v>
      </c>
      <c r="D72" s="21">
        <f t="shared" si="1"/>
        <v>37298.744917057273</v>
      </c>
      <c r="E72" s="21">
        <v>268703.31</v>
      </c>
      <c r="F72" s="21">
        <f t="shared" si="0"/>
        <v>4741761.423858027</v>
      </c>
      <c r="G72" s="4"/>
    </row>
    <row r="73" spans="1:7">
      <c r="A73" s="20">
        <v>66</v>
      </c>
      <c r="B73" s="21">
        <f t="shared" si="5"/>
        <v>4741761.423858027</v>
      </c>
      <c r="C73" s="21">
        <f t="shared" si="6"/>
        <v>233140.0993210648</v>
      </c>
      <c r="D73" s="21">
        <f t="shared" ref="D73:D91" si="10">B73*9%/12</f>
        <v>35563.210678935204</v>
      </c>
      <c r="E73" s="21">
        <v>268703.31</v>
      </c>
      <c r="F73" s="21">
        <f t="shared" si="0"/>
        <v>4508621.3245369624</v>
      </c>
      <c r="G73" s="4"/>
    </row>
    <row r="74" spans="1:7">
      <c r="A74" s="20">
        <v>67</v>
      </c>
      <c r="B74" s="21">
        <f t="shared" si="5"/>
        <v>4508621.3245369624</v>
      </c>
      <c r="C74" s="21">
        <f t="shared" si="6"/>
        <v>234888.65006597279</v>
      </c>
      <c r="D74" s="21">
        <f t="shared" si="10"/>
        <v>33814.659934027215</v>
      </c>
      <c r="E74" s="21">
        <v>268703.31</v>
      </c>
      <c r="F74" s="21">
        <f t="shared" si="0"/>
        <v>4273732.67447099</v>
      </c>
      <c r="G74" s="4"/>
    </row>
    <row r="75" spans="1:7">
      <c r="A75" s="20">
        <v>68</v>
      </c>
      <c r="B75" s="21">
        <f t="shared" si="5"/>
        <v>4273732.67447099</v>
      </c>
      <c r="C75" s="21">
        <f t="shared" si="6"/>
        <v>236650.31494146757</v>
      </c>
      <c r="D75" s="21">
        <f t="shared" si="10"/>
        <v>32052.995058532426</v>
      </c>
      <c r="E75" s="21">
        <v>268703.31</v>
      </c>
      <c r="F75" s="21">
        <f t="shared" si="0"/>
        <v>4037082.3595295222</v>
      </c>
      <c r="G75" s="4"/>
    </row>
    <row r="76" spans="1:7">
      <c r="A76" s="20">
        <v>69</v>
      </c>
      <c r="B76" s="21">
        <f t="shared" si="5"/>
        <v>4037082.3595295222</v>
      </c>
      <c r="C76" s="21">
        <f t="shared" si="6"/>
        <v>238425.19230352857</v>
      </c>
      <c r="D76" s="21">
        <f t="shared" si="10"/>
        <v>30278.117696471414</v>
      </c>
      <c r="E76" s="21">
        <v>268703.31</v>
      </c>
      <c r="F76" s="21">
        <f t="shared" si="0"/>
        <v>3798657.1672259937</v>
      </c>
      <c r="G76" s="4"/>
    </row>
    <row r="77" spans="1:7">
      <c r="A77" s="20">
        <v>70</v>
      </c>
      <c r="B77" s="21">
        <f t="shared" si="5"/>
        <v>3798657.1672259937</v>
      </c>
      <c r="C77" s="21">
        <f t="shared" si="6"/>
        <v>240213.38124580504</v>
      </c>
      <c r="D77" s="21">
        <f t="shared" si="10"/>
        <v>28489.928754194949</v>
      </c>
      <c r="E77" s="21">
        <v>268703.31</v>
      </c>
      <c r="F77" s="21">
        <f t="shared" si="0"/>
        <v>3558443.7859801888</v>
      </c>
      <c r="G77" s="4"/>
    </row>
    <row r="78" spans="1:7">
      <c r="A78" s="20">
        <v>71</v>
      </c>
      <c r="B78" s="21">
        <f t="shared" si="5"/>
        <v>3558443.7859801888</v>
      </c>
      <c r="C78" s="21">
        <f t="shared" si="6"/>
        <v>242014.98160514858</v>
      </c>
      <c r="D78" s="21">
        <f t="shared" si="10"/>
        <v>26688.328394851414</v>
      </c>
      <c r="E78" s="21">
        <v>268703.31</v>
      </c>
      <c r="F78" s="21">
        <f t="shared" si="0"/>
        <v>3316428.8043750403</v>
      </c>
      <c r="G78" s="4"/>
    </row>
    <row r="79" spans="1:7">
      <c r="A79" s="20">
        <v>72</v>
      </c>
      <c r="B79" s="21">
        <f t="shared" si="5"/>
        <v>3316428.8043750403</v>
      </c>
      <c r="C79" s="21">
        <f t="shared" ref="C79:C91" si="11">E79-D79</f>
        <v>243830.09396718719</v>
      </c>
      <c r="D79" s="21">
        <f t="shared" si="10"/>
        <v>24873.216032812805</v>
      </c>
      <c r="E79" s="21">
        <v>268703.31</v>
      </c>
      <c r="F79" s="21">
        <f t="shared" si="0"/>
        <v>3072598.7104078531</v>
      </c>
      <c r="G79" s="4"/>
    </row>
    <row r="80" spans="1:7">
      <c r="A80" s="20">
        <v>73</v>
      </c>
      <c r="B80" s="21">
        <f t="shared" si="5"/>
        <v>3072598.7104078531</v>
      </c>
      <c r="C80" s="21">
        <f t="shared" si="11"/>
        <v>245658.81967194111</v>
      </c>
      <c r="D80" s="21">
        <f t="shared" si="10"/>
        <v>23044.490328058895</v>
      </c>
      <c r="E80" s="21">
        <v>268703.31</v>
      </c>
      <c r="F80" s="21">
        <f t="shared" si="0"/>
        <v>2826939.8907359121</v>
      </c>
      <c r="G80" s="4"/>
    </row>
    <row r="81" spans="1:7">
      <c r="A81" s="20">
        <v>74</v>
      </c>
      <c r="B81" s="21">
        <f t="shared" si="5"/>
        <v>2826939.8907359121</v>
      </c>
      <c r="C81" s="21">
        <f t="shared" si="11"/>
        <v>247501.26081948067</v>
      </c>
      <c r="D81" s="21">
        <f t="shared" si="10"/>
        <v>21202.049180519341</v>
      </c>
      <c r="E81" s="21">
        <v>268703.31</v>
      </c>
      <c r="F81" s="21">
        <f t="shared" si="0"/>
        <v>2579438.6299164314</v>
      </c>
      <c r="G81" s="4"/>
    </row>
    <row r="82" spans="1:7">
      <c r="A82" s="20">
        <v>75</v>
      </c>
      <c r="B82" s="21">
        <f t="shared" si="5"/>
        <v>2579438.6299164314</v>
      </c>
      <c r="C82" s="21">
        <f t="shared" si="11"/>
        <v>249357.52027562677</v>
      </c>
      <c r="D82" s="21">
        <f t="shared" si="10"/>
        <v>19345.789724373233</v>
      </c>
      <c r="E82" s="21">
        <v>268703.31</v>
      </c>
      <c r="F82" s="21">
        <f t="shared" si="0"/>
        <v>2330081.1096408046</v>
      </c>
      <c r="G82" s="4"/>
    </row>
    <row r="83" spans="1:7">
      <c r="A83" s="20">
        <v>76</v>
      </c>
      <c r="B83" s="21">
        <f t="shared" si="5"/>
        <v>2330081.1096408046</v>
      </c>
      <c r="C83" s="21">
        <f t="shared" si="11"/>
        <v>251227.70167769396</v>
      </c>
      <c r="D83" s="21">
        <f t="shared" si="10"/>
        <v>17475.608322306034</v>
      </c>
      <c r="E83" s="21">
        <v>268703.31</v>
      </c>
      <c r="F83" s="21">
        <f t="shared" si="0"/>
        <v>2078853.4079631106</v>
      </c>
      <c r="G83" s="4"/>
    </row>
    <row r="84" spans="1:7">
      <c r="A84" s="20">
        <v>77</v>
      </c>
      <c r="B84" s="21">
        <f t="shared" si="5"/>
        <v>2078853.4079631106</v>
      </c>
      <c r="C84" s="21">
        <f t="shared" si="11"/>
        <v>253111.90944027668</v>
      </c>
      <c r="D84" s="21">
        <f t="shared" si="10"/>
        <v>15591.400559723328</v>
      </c>
      <c r="E84" s="21">
        <v>268703.31</v>
      </c>
      <c r="F84" s="21">
        <f t="shared" si="0"/>
        <v>1825741.4985228339</v>
      </c>
      <c r="G84" s="4"/>
    </row>
    <row r="85" spans="1:7">
      <c r="A85" s="20">
        <v>78</v>
      </c>
      <c r="B85" s="21">
        <f t="shared" si="5"/>
        <v>1825741.4985228339</v>
      </c>
      <c r="C85" s="21">
        <f t="shared" si="11"/>
        <v>255010.24876107875</v>
      </c>
      <c r="D85" s="21">
        <f t="shared" si="10"/>
        <v>13693.061238921255</v>
      </c>
      <c r="E85" s="21">
        <v>268703.31</v>
      </c>
      <c r="F85" s="21">
        <f t="shared" si="0"/>
        <v>1570731.2497617551</v>
      </c>
      <c r="G85" s="4"/>
    </row>
    <row r="86" spans="1:7">
      <c r="A86" s="20">
        <v>79</v>
      </c>
      <c r="B86" s="21">
        <f t="shared" si="5"/>
        <v>1570731.2497617551</v>
      </c>
      <c r="C86" s="21">
        <f t="shared" si="11"/>
        <v>256922.82562678683</v>
      </c>
      <c r="D86" s="21">
        <f t="shared" si="10"/>
        <v>11780.484373213163</v>
      </c>
      <c r="E86" s="21">
        <v>268703.31</v>
      </c>
      <c r="F86" s="21">
        <f t="shared" si="0"/>
        <v>1313808.4241349683</v>
      </c>
      <c r="G86" s="4"/>
    </row>
    <row r="87" spans="1:7">
      <c r="A87" s="20">
        <v>80</v>
      </c>
      <c r="B87" s="21">
        <f t="shared" si="5"/>
        <v>1313808.4241349683</v>
      </c>
      <c r="C87" s="21">
        <f t="shared" si="11"/>
        <v>258849.74681898774</v>
      </c>
      <c r="D87" s="21">
        <f t="shared" si="10"/>
        <v>9853.5631810122632</v>
      </c>
      <c r="E87" s="21">
        <v>268703.31</v>
      </c>
      <c r="F87" s="21">
        <f t="shared" si="0"/>
        <v>1054958.6773159807</v>
      </c>
      <c r="G87" s="4"/>
    </row>
    <row r="88" spans="1:7">
      <c r="A88" s="20">
        <v>81</v>
      </c>
      <c r="B88" s="21">
        <f t="shared" si="5"/>
        <v>1054958.6773159807</v>
      </c>
      <c r="C88" s="21">
        <f t="shared" si="11"/>
        <v>260791.11992013015</v>
      </c>
      <c r="D88" s="21">
        <f t="shared" si="10"/>
        <v>7912.1900798698553</v>
      </c>
      <c r="E88" s="21">
        <v>268703.31</v>
      </c>
      <c r="F88" s="21">
        <f t="shared" si="0"/>
        <v>794167.55739585054</v>
      </c>
      <c r="G88" s="4"/>
    </row>
    <row r="89" spans="1:7">
      <c r="A89" s="20">
        <v>82</v>
      </c>
      <c r="B89" s="21">
        <f t="shared" si="5"/>
        <v>794167.55739585054</v>
      </c>
      <c r="C89" s="21">
        <f t="shared" si="11"/>
        <v>262747.05331953114</v>
      </c>
      <c r="D89" s="21">
        <f t="shared" si="10"/>
        <v>5956.2566804688786</v>
      </c>
      <c r="E89" s="21">
        <v>268703.31</v>
      </c>
      <c r="F89" s="21">
        <f t="shared" si="0"/>
        <v>531420.5040763194</v>
      </c>
      <c r="G89" s="4"/>
    </row>
    <row r="90" spans="1:7">
      <c r="A90" s="20">
        <v>83</v>
      </c>
      <c r="B90" s="21">
        <f t="shared" si="5"/>
        <v>531420.5040763194</v>
      </c>
      <c r="C90" s="21">
        <f t="shared" si="11"/>
        <v>264717.65621942759</v>
      </c>
      <c r="D90" s="21">
        <f t="shared" si="10"/>
        <v>3985.6537805723951</v>
      </c>
      <c r="E90" s="21">
        <v>268703.31</v>
      </c>
      <c r="F90" s="21">
        <f t="shared" si="0"/>
        <v>266702.84785689181</v>
      </c>
      <c r="G90" s="4"/>
    </row>
    <row r="91" spans="1:7">
      <c r="A91" s="20">
        <v>84</v>
      </c>
      <c r="B91" s="21">
        <f t="shared" si="5"/>
        <v>266702.84785689181</v>
      </c>
      <c r="C91" s="21">
        <f t="shared" si="11"/>
        <v>266702.84864107333</v>
      </c>
      <c r="D91" s="21">
        <f t="shared" si="10"/>
        <v>2000.2713589266884</v>
      </c>
      <c r="E91" s="21">
        <v>268703.12</v>
      </c>
      <c r="F91" s="21">
        <f t="shared" si="0"/>
        <v>-7.8418152406811714E-4</v>
      </c>
      <c r="G91" s="4"/>
    </row>
    <row r="92" spans="1:7">
      <c r="B92" s="6" t="s">
        <v>78</v>
      </c>
      <c r="C92" s="24">
        <f>SUM(C8:C91)</f>
        <v>15824000.000784179</v>
      </c>
      <c r="D92" s="24">
        <f>SUM(D8:D91)</f>
        <v>5846937.989215821</v>
      </c>
    </row>
  </sheetData>
  <mergeCells count="6">
    <mergeCell ref="I6:M6"/>
    <mergeCell ref="A1:F1"/>
    <mergeCell ref="A2:F2"/>
    <mergeCell ref="B3:F3"/>
    <mergeCell ref="B4:F4"/>
    <mergeCell ref="B5:F5"/>
  </mergeCells>
  <pageMargins left="0.23622047244094491" right="0.23622047244094491" top="0.74803149606299213" bottom="0.74803149606299213" header="0.31496062992125984" footer="0.31496062992125984"/>
  <pageSetup scale="83" orientation="portrait" r:id="rId1"/>
  <rowBreaks count="1" manualBreakCount="1">
    <brk id="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view="pageBreakPreview" zoomScale="60" zoomScaleNormal="100" workbookViewId="0">
      <selection activeCell="E7" sqref="E7:E12"/>
    </sheetView>
  </sheetViews>
  <sheetFormatPr defaultRowHeight="13.2"/>
  <cols>
    <col min="1" max="1" width="10.33203125" bestFit="1" customWidth="1"/>
    <col min="2" max="3" width="12" bestFit="1" customWidth="1"/>
    <col min="4" max="4" width="15.109375" bestFit="1" customWidth="1"/>
    <col min="5" max="5" width="16" bestFit="1" customWidth="1"/>
    <col min="6" max="7" width="13.77734375" bestFit="1" customWidth="1"/>
    <col min="8" max="8" width="14.77734375" bestFit="1" customWidth="1"/>
    <col min="9" max="9" width="16" bestFit="1" customWidth="1"/>
    <col min="10" max="13" width="13.5546875" bestFit="1" customWidth="1"/>
    <col min="14" max="20" width="10.44140625" bestFit="1" customWidth="1"/>
  </cols>
  <sheetData>
    <row r="1" spans="1:20">
      <c r="A1" s="66" t="s">
        <v>149</v>
      </c>
      <c r="B1" s="66"/>
      <c r="C1" s="66"/>
      <c r="D1" s="66"/>
      <c r="E1" s="66"/>
      <c r="F1" s="66"/>
      <c r="G1" s="66"/>
      <c r="H1" s="66"/>
      <c r="I1" s="66"/>
    </row>
    <row r="2" spans="1:20">
      <c r="A2" s="5"/>
      <c r="B2" s="66" t="s">
        <v>93</v>
      </c>
      <c r="C2" s="66"/>
      <c r="D2" s="66"/>
      <c r="E2" s="66"/>
      <c r="F2" s="66" t="s">
        <v>94</v>
      </c>
      <c r="G2" s="66"/>
      <c r="H2" s="66"/>
      <c r="I2" s="66"/>
    </row>
    <row r="3" spans="1:20">
      <c r="A3" s="5"/>
      <c r="B3" s="6" t="s">
        <v>150</v>
      </c>
      <c r="C3" s="6" t="s">
        <v>151</v>
      </c>
      <c r="D3" s="6" t="s">
        <v>78</v>
      </c>
      <c r="E3" s="6" t="s">
        <v>176</v>
      </c>
      <c r="F3" s="6" t="s">
        <v>150</v>
      </c>
      <c r="G3" s="6" t="s">
        <v>151</v>
      </c>
      <c r="H3" s="6" t="s">
        <v>78</v>
      </c>
      <c r="I3" s="6" t="s">
        <v>176</v>
      </c>
    </row>
    <row r="4" spans="1:20">
      <c r="A4" s="5" t="s">
        <v>99</v>
      </c>
      <c r="B4" s="5">
        <v>0</v>
      </c>
      <c r="C4" s="5">
        <v>0</v>
      </c>
      <c r="D4" s="5">
        <f>SUM(B4:C4)</f>
        <v>0</v>
      </c>
      <c r="E4" s="23">
        <f>D4/10^6</f>
        <v>0</v>
      </c>
      <c r="F4" s="23">
        <v>0</v>
      </c>
      <c r="G4" s="23">
        <v>0</v>
      </c>
      <c r="H4" s="23">
        <f>SUM(F4:G4)</f>
        <v>0</v>
      </c>
      <c r="I4" s="23">
        <f>H4/10^5</f>
        <v>0</v>
      </c>
      <c r="L4" s="22"/>
      <c r="M4" s="22"/>
      <c r="N4" s="22"/>
      <c r="O4" s="22"/>
      <c r="P4" s="22"/>
      <c r="Q4" s="22"/>
      <c r="R4" s="22"/>
      <c r="S4" s="22"/>
      <c r="T4" s="22"/>
    </row>
    <row r="5" spans="1:20">
      <c r="A5" s="5" t="s">
        <v>100</v>
      </c>
      <c r="B5" s="5">
        <v>1458260.3975241517</v>
      </c>
      <c r="C5" s="5">
        <v>0</v>
      </c>
      <c r="D5" s="23">
        <f t="shared" ref="D5:D12" si="0">SUM(B5:C5)</f>
        <v>1458260.3975241517</v>
      </c>
      <c r="E5" s="23">
        <f>D5/10^5</f>
        <v>14.582603975241517</v>
      </c>
      <c r="F5" s="23">
        <v>2237205.9624758479</v>
      </c>
      <c r="G5" s="23">
        <v>593400</v>
      </c>
      <c r="H5" s="23">
        <f t="shared" ref="H5:H12" si="1">SUM(F5:G5)</f>
        <v>2830605.9624758479</v>
      </c>
      <c r="I5" s="23">
        <f t="shared" ref="I5:I12" si="2">H5/10^5</f>
        <v>28.306059624758479</v>
      </c>
    </row>
    <row r="6" spans="1:20">
      <c r="A6" s="5" t="s">
        <v>101</v>
      </c>
      <c r="B6" s="5">
        <v>3120180.177525897</v>
      </c>
      <c r="C6" s="5">
        <v>1713554.536235854</v>
      </c>
      <c r="D6" s="23">
        <f t="shared" si="0"/>
        <v>4833734.7137617506</v>
      </c>
      <c r="E6" s="23">
        <f t="shared" ref="E6:E12" si="3">D6/10^5</f>
        <v>48.337347137617506</v>
      </c>
      <c r="F6" s="23">
        <v>2006442.5424741032</v>
      </c>
      <c r="G6" s="23">
        <v>1360861.8737641461</v>
      </c>
      <c r="H6" s="23">
        <f t="shared" si="1"/>
        <v>3367304.4162382493</v>
      </c>
      <c r="I6" s="23">
        <f t="shared" si="2"/>
        <v>33.673044162382496</v>
      </c>
    </row>
    <row r="7" spans="1:20">
      <c r="A7" s="5" t="s">
        <v>102</v>
      </c>
      <c r="B7" s="5">
        <v>3412874.6001540981</v>
      </c>
      <c r="C7" s="5">
        <v>2037172.7402919487</v>
      </c>
      <c r="D7" s="23">
        <f t="shared" si="0"/>
        <v>5450047.3404460466</v>
      </c>
      <c r="E7" s="23">
        <f t="shared" si="3"/>
        <v>54.500473404460465</v>
      </c>
      <c r="F7" s="23">
        <v>1713748.1198459016</v>
      </c>
      <c r="G7" s="23">
        <v>1187266.9797080513</v>
      </c>
      <c r="H7" s="23">
        <f t="shared" si="1"/>
        <v>2901015.0995539529</v>
      </c>
      <c r="I7" s="23">
        <f t="shared" si="2"/>
        <v>29.010150995539529</v>
      </c>
    </row>
    <row r="8" spans="1:20">
      <c r="A8" s="5" t="s">
        <v>103</v>
      </c>
      <c r="B8" s="5">
        <v>3733025.7785346517</v>
      </c>
      <c r="C8" s="5">
        <v>2228273.5950786313</v>
      </c>
      <c r="D8" s="23">
        <f t="shared" si="0"/>
        <v>5961299.373613283</v>
      </c>
      <c r="E8" s="23">
        <f t="shared" si="3"/>
        <v>59.612993736132829</v>
      </c>
      <c r="F8" s="23">
        <v>1393596.9414653485</v>
      </c>
      <c r="G8" s="23">
        <v>996166.12492136855</v>
      </c>
      <c r="H8" s="23">
        <f t="shared" si="1"/>
        <v>2389763.0663867169</v>
      </c>
      <c r="I8" s="23">
        <f t="shared" si="2"/>
        <v>23.897630663867169</v>
      </c>
    </row>
    <row r="9" spans="1:20">
      <c r="A9" s="5" t="s">
        <v>117</v>
      </c>
      <c r="B9" s="5">
        <v>4083209.3457447933</v>
      </c>
      <c r="C9" s="5">
        <v>2437301.028195126</v>
      </c>
      <c r="D9" s="23">
        <f t="shared" si="0"/>
        <v>6520510.3739399193</v>
      </c>
      <c r="E9" s="23">
        <f t="shared" si="3"/>
        <v>65.205103739399192</v>
      </c>
      <c r="F9" s="23">
        <v>1043413.3742552068</v>
      </c>
      <c r="G9" s="23">
        <v>787138.69180487376</v>
      </c>
      <c r="H9" s="23">
        <f t="shared" si="1"/>
        <v>1830552.0660600807</v>
      </c>
      <c r="I9" s="23">
        <f t="shared" si="2"/>
        <v>18.305520660600806</v>
      </c>
    </row>
    <row r="10" spans="1:20">
      <c r="A10" s="5" t="s">
        <v>141</v>
      </c>
      <c r="B10" s="5">
        <v>4466242.5470102765</v>
      </c>
      <c r="C10" s="5">
        <v>2665936.6763404082</v>
      </c>
      <c r="D10" s="23">
        <f t="shared" si="0"/>
        <v>7132179.2233506851</v>
      </c>
      <c r="E10" s="23">
        <f t="shared" si="3"/>
        <v>71.321792233506855</v>
      </c>
      <c r="F10" s="23">
        <v>660380.17298972362</v>
      </c>
      <c r="G10" s="23">
        <v>558503.04365959158</v>
      </c>
      <c r="H10" s="23">
        <f t="shared" si="1"/>
        <v>1218883.2166493153</v>
      </c>
      <c r="I10" s="23">
        <f t="shared" si="2"/>
        <v>12.188832166493153</v>
      </c>
    </row>
    <row r="11" spans="1:20">
      <c r="A11" s="5" t="s">
        <v>142</v>
      </c>
      <c r="B11" s="5">
        <v>4885206.9295914611</v>
      </c>
      <c r="C11" s="5">
        <v>2916019.925335194</v>
      </c>
      <c r="D11" s="23">
        <f t="shared" si="0"/>
        <v>7801226.8549266551</v>
      </c>
      <c r="E11" s="23">
        <f t="shared" si="3"/>
        <v>78.012268549266551</v>
      </c>
      <c r="F11" s="23">
        <v>241415.8154085397</v>
      </c>
      <c r="G11" s="23">
        <v>308419.79466480622</v>
      </c>
      <c r="H11" s="23">
        <f t="shared" si="1"/>
        <v>549835.61007334595</v>
      </c>
      <c r="I11" s="23">
        <f t="shared" si="2"/>
        <v>5.4983561007334592</v>
      </c>
    </row>
    <row r="12" spans="1:20">
      <c r="A12" s="5" t="s">
        <v>143</v>
      </c>
      <c r="B12" s="5">
        <v>0</v>
      </c>
      <c r="C12" s="5">
        <v>1825741.4993070154</v>
      </c>
      <c r="D12" s="23">
        <f t="shared" si="0"/>
        <v>1825741.4993070154</v>
      </c>
      <c r="E12" s="23">
        <f t="shared" si="3"/>
        <v>18.257414993070153</v>
      </c>
      <c r="F12" s="23">
        <v>0</v>
      </c>
      <c r="G12" s="23">
        <v>55181.480692984493</v>
      </c>
      <c r="H12" s="23">
        <f t="shared" si="1"/>
        <v>55181.480692984493</v>
      </c>
      <c r="I12" s="23">
        <f t="shared" si="2"/>
        <v>0.55181480692984497</v>
      </c>
    </row>
    <row r="13" spans="1:20">
      <c r="A13" s="6" t="s">
        <v>78</v>
      </c>
      <c r="B13" s="6">
        <f>SUM(B4:B12)</f>
        <v>25158999.776085328</v>
      </c>
      <c r="C13" s="6">
        <f>SUM(C4:C12)</f>
        <v>15824000.000784179</v>
      </c>
      <c r="D13" s="24">
        <f>SUM(D4:D12)</f>
        <v>40982999.776869506</v>
      </c>
      <c r="E13" s="24">
        <f>SUM(E4:E12)</f>
        <v>409.82999776869502</v>
      </c>
      <c r="F13" s="24">
        <f>SUM(F4:F12)</f>
        <v>9296202.9289146718</v>
      </c>
      <c r="G13" s="24">
        <f t="shared" ref="G13:I13" si="4">SUM(G4:G12)</f>
        <v>5846937.989215821</v>
      </c>
      <c r="H13" s="24">
        <f t="shared" si="4"/>
        <v>15143140.918130493</v>
      </c>
      <c r="I13" s="24">
        <f t="shared" si="4"/>
        <v>151.43140918130493</v>
      </c>
    </row>
    <row r="21" spans="7:13">
      <c r="G21" s="22"/>
      <c r="H21" s="22"/>
      <c r="I21" s="22"/>
      <c r="J21" s="22"/>
      <c r="K21" s="22"/>
      <c r="L21" s="22"/>
      <c r="M21" s="22"/>
    </row>
  </sheetData>
  <mergeCells count="3">
    <mergeCell ref="B2:E2"/>
    <mergeCell ref="F2:I2"/>
    <mergeCell ref="A1:I1"/>
  </mergeCell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Proposal</vt:lpstr>
      <vt:lpstr>Machinery Chart</vt:lpstr>
      <vt:lpstr>COP - MOF</vt:lpstr>
      <vt:lpstr>P&amp;L</vt:lpstr>
      <vt:lpstr>Balance Sheet</vt:lpstr>
      <vt:lpstr>Production Chart</vt:lpstr>
      <vt:lpstr>Fixed Asset Chart</vt:lpstr>
      <vt:lpstr>Repayment Schedule - TL 1</vt:lpstr>
      <vt:lpstr>Repayment Schedule - TL 2</vt:lpstr>
      <vt:lpstr>Summary of TL Repayment</vt:lpstr>
      <vt:lpstr>'Balance Sheet'!Print_Area</vt:lpstr>
      <vt:lpstr>'P&amp;L'!Print_Area</vt:lpstr>
      <vt:lpstr>Proposal!Print_Area</vt:lpstr>
      <vt:lpstr>'Repayment Schedule - TL 1'!Print_Area</vt:lpstr>
      <vt:lpstr>'Repayment Schedule - TL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Book1</dc:title>
  <dc:creator>408417</dc:creator>
  <cp:lastModifiedBy>hp</cp:lastModifiedBy>
  <cp:lastPrinted>2026-03-23T06:42:30Z</cp:lastPrinted>
  <dcterms:created xsi:type="dcterms:W3CDTF">2023-11-02T10:19:04Z</dcterms:created>
  <dcterms:modified xsi:type="dcterms:W3CDTF">2026-04-12T02:31:05Z</dcterms:modified>
</cp:coreProperties>
</file>